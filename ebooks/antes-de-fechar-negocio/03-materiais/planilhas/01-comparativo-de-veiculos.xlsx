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Comparar" sheetId="2" state="visible" r:id="rId2"/>
    <sheet xmlns:r="http://schemas.openxmlformats.org/officeDocument/2006/relationships" name="Anúncio x Realidade" sheetId="3" state="visible" r:id="rId3"/>
  </sheets>
  <definedNames>
    <definedName name="_xlnm.Print_Area" localSheetId="0">'Capa'!$A$1:$F$28</definedName>
    <definedName name="_xlnm.Print_Titles" localSheetId="1">'Comparar'!$4:$4</definedName>
    <definedName name="_xlnm.Print_Area" localSheetId="1">'Comparar'!$A$1:$G$63</definedName>
    <definedName name="_xlnm.Print_Titles" localSheetId="2">'Anúncio x Realidade'!$7:$7</definedName>
    <definedName name="_xlnm.Print_Area" localSheetId="2">'Anúncio x Realidade'!$A$1:$E$30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;-R$ #,##0.00;&quot;-&quot;"/>
    <numFmt numFmtId="165" formatCode="0.0"/>
    <numFmt numFmtId="166" formatCode="0.0%;-0.0%;&quot;0,0%&quot;"/>
  </numFmts>
  <fonts count="21">
    <font>
      <name val="Calibri"/>
      <family val="2"/>
      <color theme="1"/>
      <sz val="11"/>
      <scheme val="minor"/>
    </font>
    <font>
      <name val="Calibri"/>
      <b val="1"/>
      <color rgb="00F2A900"/>
      <sz val="22"/>
    </font>
    <font>
      <name val="Calibri"/>
      <i val="1"/>
      <color rgb="00C9CED6"/>
      <sz val="10"/>
    </font>
    <font>
      <name val="Calibri"/>
      <b val="1"/>
      <color rgb="00FFFFFF"/>
      <sz val="18"/>
    </font>
    <font>
      <name val="Calibri"/>
      <b val="1"/>
      <color rgb="00B87F00"/>
      <sz val="12"/>
    </font>
    <font>
      <name val="Calibri"/>
      <color rgb="001A1F26"/>
      <sz val="11"/>
    </font>
    <font>
      <name val="Calibri"/>
      <color rgb="000000FF"/>
      <sz val="11"/>
    </font>
    <font>
      <name val="Calibri"/>
      <color rgb="00000000"/>
      <sz val="11"/>
    </font>
    <font>
      <name val="Calibri"/>
      <b val="1"/>
      <color rgb="00C62828"/>
      <sz val="11"/>
    </font>
    <font>
      <name val="Calibri"/>
      <i val="1"/>
      <color rgb="004E5864"/>
      <sz val="9.5"/>
    </font>
    <font>
      <name val="Calibri"/>
      <i val="1"/>
      <color rgb="007A8591"/>
      <sz val="8.5"/>
    </font>
    <font>
      <name val="Calibri"/>
      <b val="1"/>
      <color rgb="00F2A900"/>
      <sz val="14"/>
    </font>
    <font>
      <name val="Calibri"/>
      <b val="1"/>
      <color rgb="00FFFFFF"/>
      <sz val="11"/>
    </font>
    <font>
      <name val="Calibri"/>
      <color rgb="001A1F26"/>
      <sz val="10.5"/>
    </font>
    <font>
      <name val="Calibri"/>
      <i val="1"/>
      <color rgb="004E5864"/>
      <sz val="8.5"/>
    </font>
    <font>
      <name val="Calibri"/>
      <b val="1"/>
      <color rgb="001A1F26"/>
      <sz val="10.5"/>
    </font>
    <font>
      <name val="Calibri"/>
      <b val="1"/>
      <color rgb="00000000"/>
      <sz val="11"/>
    </font>
    <font>
      <name val="Calibri"/>
      <b val="1"/>
      <color rgb="00B87F00"/>
      <sz val="10.5"/>
    </font>
    <font>
      <name val="Calibri"/>
      <b val="1"/>
      <color rgb="000F1318"/>
      <sz val="12"/>
    </font>
    <font>
      <name val="Calibri"/>
      <i val="1"/>
      <color rgb="001A1F26"/>
      <sz val="9.5"/>
    </font>
    <font>
      <name val="Calibri"/>
      <b val="1"/>
      <color rgb="000000FF"/>
      <sz val="11"/>
    </font>
  </fonts>
  <fills count="9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0F1318"/>
        <bgColor rgb="000F1318"/>
      </patternFill>
    </fill>
    <fill>
      <patternFill patternType="solid">
        <fgColor rgb="00F2A900"/>
        <bgColor rgb="00F2A900"/>
      </patternFill>
    </fill>
    <fill>
      <patternFill patternType="solid">
        <fgColor rgb="00EEF3FF"/>
        <bgColor rgb="00EEF3FF"/>
      </patternFill>
    </fill>
    <fill>
      <patternFill patternType="solid">
        <fgColor rgb="00FDECEA"/>
        <bgColor rgb="00FDECEA"/>
      </patternFill>
    </fill>
    <fill>
      <patternFill patternType="solid">
        <fgColor rgb="00F5F6F8"/>
        <bgColor rgb="00F5F6F8"/>
      </patternFill>
    </fill>
    <fill>
      <patternFill patternType="solid">
        <fgColor rgb="00FFF4D6"/>
        <bgColor rgb="00FFF4D6"/>
      </patternFill>
    </fill>
  </fills>
  <borders count="3">
    <border>
      <left/>
      <right/>
      <top/>
      <bottom/>
      <diagonal/>
    </border>
    <border>
      <left style="thin">
        <color rgb="00DDE1E6"/>
      </left>
      <right style="thin">
        <color rgb="00DDE1E6"/>
      </right>
      <top style="thin">
        <color rgb="00DDE1E6"/>
      </top>
      <bottom style="thin">
        <color rgb="00DDE1E6"/>
      </bottom>
    </border>
    <border>
      <top style="thin">
        <color rgb="00F2A900"/>
      </top>
      <bottom style="thin">
        <color rgb="00F2A90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5" fillId="2" borderId="0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5" fillId="2" borderId="0" pivotButton="0" quotePrefix="0" xfId="0"/>
    <xf numFmtId="4" fontId="7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vertical="top" wrapText="1"/>
    </xf>
    <xf numFmtId="0" fontId="10" fillId="2" borderId="0" applyAlignment="1" pivotButton="0" quotePrefix="0" xfId="0">
      <alignment vertical="top" wrapText="1"/>
    </xf>
    <xf numFmtId="0" fontId="11" fillId="3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2" fillId="3" borderId="1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left" vertical="center"/>
    </xf>
    <xf numFmtId="0" fontId="0" fillId="8" borderId="2" pivotButton="0" quotePrefix="0" xfId="0"/>
    <xf numFmtId="0" fontId="13" fillId="0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14" fillId="0" borderId="1" applyAlignment="1" pivotButton="0" quotePrefix="0" xfId="0">
      <alignment vertical="center" wrapText="1"/>
    </xf>
    <xf numFmtId="164" fontId="6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" fontId="6" fillId="5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left" vertical="center" wrapText="1"/>
    </xf>
    <xf numFmtId="164" fontId="16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5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19" fillId="8" borderId="0" applyAlignment="1" pivotButton="0" quotePrefix="0" xfId="0">
      <alignment vertical="center" wrapText="1" indent="1"/>
    </xf>
    <xf numFmtId="1" fontId="20" fillId="5" borderId="1" applyAlignment="1" pivotButton="0" quotePrefix="0" xfId="0">
      <alignment horizontal="center" vertical="center" wrapText="1"/>
    </xf>
    <xf numFmtId="166" fontId="20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1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8">
    <dxf>
      <font>
        <name val="Calibri"/>
        <b val="1"/>
        <color rgb="00FFFFFF"/>
      </font>
      <fill>
        <patternFill patternType="solid">
          <fgColor rgb="002E9E5B"/>
          <bgColor rgb="002E9E5B"/>
        </patternFill>
      </fill>
    </dxf>
    <dxf>
      <font>
        <name val="Calibri"/>
        <b val="1"/>
        <color rgb="001A1F26"/>
      </font>
      <fill>
        <patternFill patternType="solid">
          <fgColor rgb="00E0A100"/>
          <bgColor rgb="00E0A100"/>
        </patternFill>
      </fill>
    </dxf>
    <dxf>
      <font>
        <name val="Calibri"/>
        <b val="1"/>
        <color rgb="00FFFFFF"/>
      </font>
      <fill>
        <patternFill patternType="solid">
          <fgColor rgb="00C62828"/>
          <bgColor rgb="00C62828"/>
        </patternFill>
      </fill>
    </dxf>
    <dxf>
      <font>
        <name val="Calibri"/>
        <b val="1"/>
        <color rgb="00FFFFFF"/>
      </font>
      <fill>
        <patternFill patternType="solid">
          <fgColor rgb="005A6472"/>
          <bgColor rgb="005A6472"/>
        </patternFill>
      </fill>
    </dxf>
    <dxf>
      <font>
        <name val="Calibri"/>
        <b val="1"/>
        <color rgb="001A1F26"/>
      </font>
      <fill>
        <patternFill patternType="solid">
          <fgColor rgb="00DDE1E6"/>
          <bgColor rgb="00DDE1E6"/>
        </patternFill>
      </fill>
    </dxf>
    <dxf>
      <font>
        <name val="Calibri"/>
        <b val="1"/>
        <color rgb="00C62828"/>
      </font>
      <fill>
        <patternFill patternType="solid">
          <fgColor rgb="00FDECEA"/>
          <bgColor rgb="00FDECEA"/>
        </patternFill>
      </fill>
    </dxf>
    <dxf>
      <font>
        <name val="Calibri"/>
        <b val="1"/>
        <color rgb="00C62828"/>
      </font>
    </dxf>
    <dxf>
      <font>
        <name val="Calibri"/>
        <b val="1"/>
        <color rgb="002E9E5B"/>
      </font>
      <fill>
        <patternFill patternType="solid">
          <fgColor rgb="00E8F5EC"/>
          <bgColor rgb="00E8F5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Antes de Fechar Negócio</author>
  </authors>
  <commentList>
    <comment ref="A61" authorId="0" shapeId="0">
      <text>
        <t>Limite do alerta de preço. Padrão: −15% em relação ao valor de referência de mercado.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3" customWidth="1" min="6" max="6"/>
  </cols>
  <sheetData>
    <row r="1">
      <c r="A1" s="1" t="n"/>
      <c r="B1" s="1" t="n"/>
      <c r="C1" s="1" t="n"/>
      <c r="D1" s="1" t="n"/>
      <c r="E1" s="1" t="n"/>
      <c r="F1" s="1" t="n"/>
    </row>
    <row r="2" ht="34" customHeight="1">
      <c r="A2" s="1" t="n"/>
      <c r="B2" s="2" t="inlineStr">
        <is>
          <t>ANTES DE FECHAR NEGÓCIO</t>
        </is>
      </c>
      <c r="F2" s="1" t="n"/>
    </row>
    <row r="3">
      <c r="A3" s="1" t="n"/>
      <c r="B3" s="3" t="inlineStr">
        <is>
          <t>O guia do vistoriador para quem vai comprar carro usado  ·  Protocolo Cautelar</t>
        </is>
      </c>
      <c r="F3" s="1" t="n"/>
    </row>
    <row r="4">
      <c r="A4" s="1" t="n"/>
      <c r="B4" s="1" t="n"/>
      <c r="C4" s="1" t="n"/>
      <c r="D4" s="1" t="n"/>
      <c r="E4" s="1" t="n"/>
      <c r="F4" s="1" t="n"/>
    </row>
    <row r="5" ht="26" customHeight="1">
      <c r="A5" s="1" t="n"/>
      <c r="B5" s="4" t="inlineStr">
        <is>
          <t>Comparativo de veículos</t>
        </is>
      </c>
      <c r="F5" s="1" t="n"/>
    </row>
    <row r="6" ht="26" customHeight="1">
      <c r="A6" s="1" t="n"/>
      <c r="F6" s="1" t="n"/>
    </row>
    <row r="7">
      <c r="A7" s="1" t="n"/>
      <c r="B7" s="1" t="n"/>
      <c r="C7" s="1" t="n"/>
      <c r="D7" s="1" t="n"/>
      <c r="E7" s="1" t="n"/>
      <c r="F7" s="1" t="n"/>
    </row>
    <row r="8" ht="5" customHeight="1">
      <c r="A8" s="5" t="n"/>
      <c r="B8" s="5" t="n"/>
      <c r="C8" s="5" t="n"/>
      <c r="D8" s="5" t="n"/>
      <c r="E8" s="5" t="n"/>
      <c r="F8" s="5" t="n"/>
    </row>
    <row r="9">
      <c r="A9" s="6" t="n"/>
      <c r="B9" s="6" t="n"/>
      <c r="C9" s="6" t="n"/>
      <c r="D9" s="6" t="n"/>
      <c r="E9" s="6" t="n"/>
      <c r="F9" s="6" t="n"/>
    </row>
    <row r="10">
      <c r="A10" s="6" t="n"/>
      <c r="B10" s="7" t="inlineStr">
        <is>
          <t>COMO USAR (passo a passo)</t>
        </is>
      </c>
      <c r="C10" s="6" t="n"/>
      <c r="D10" s="6" t="n"/>
      <c r="E10" s="6" t="n"/>
      <c r="F10" s="6" t="n"/>
    </row>
    <row r="11" ht="18" customHeight="1">
      <c r="A11" s="6" t="n"/>
      <c r="B11" s="8" t="inlineStr">
        <is>
          <t>1. Abra a aba Comparar. Cada coluna (Carro 1 a 4) é um carro que você está considerando.</t>
        </is>
      </c>
      <c r="F11" s="6" t="n"/>
    </row>
    <row r="12" ht="32" customHeight="1">
      <c r="A12" s="6" t="n"/>
      <c r="B12" s="8" t="inlineStr">
        <is>
          <t>2. Preencha só as células AZUIS. As pretas se calculam sozinhas. Comece pelo preço pedido: sem ele, a coluna fica vazia.</t>
        </is>
      </c>
      <c r="F12" s="6" t="n"/>
    </row>
    <row r="13" ht="32" customHeight="1">
      <c r="A13" s="6" t="n"/>
      <c r="B13" s="8" t="inlineStr">
        <is>
          <t>3. Nas consultas, marque OK (consultou e está certo), Pendente (ainda não consultou) ou Alerta (achou problema).</t>
        </is>
      </c>
      <c r="F13" s="6" t="n"/>
    </row>
    <row r="14" ht="32" customHeight="1">
      <c r="A14" s="6" t="n"/>
      <c r="B14" s="8" t="inlineStr">
        <is>
          <t>4. Informe o resultado do laudo cautelar, se já tiver. Laudo Reprovado/Inconclusivo ou qualquer Alerta tira o carro da escolha.</t>
        </is>
      </c>
      <c r="F14" s="6" t="n"/>
    </row>
    <row r="15" ht="32" customHeight="1">
      <c r="A15" s="6" t="n"/>
      <c r="B15" s="8" t="inlineStr">
        <is>
          <t>5. Se quiser, ajuste os pesos da pontuação (coluna F) conforme o que é mais importante para você.</t>
        </is>
      </c>
      <c r="F15" s="6" t="n"/>
    </row>
    <row r="16" ht="32" customHeight="1">
      <c r="A16" s="6" t="n"/>
      <c r="B16" s="8" t="inlineStr">
        <is>
          <t>6. Na aba Anúncio x Realidade, compare o que o anúncio promete com o que você viu na visita.</t>
        </is>
      </c>
      <c r="F16" s="6" t="n"/>
    </row>
    <row r="17" ht="18" customHeight="1">
      <c r="A17" s="6" t="n"/>
      <c r="B17" s="8" t="inlineStr">
        <is>
          <t>7. Apague os exemplos (células azuis) antes de usar com os seus carros.</t>
        </is>
      </c>
      <c r="F17" s="6" t="n"/>
    </row>
    <row r="18">
      <c r="A18" s="6" t="n"/>
      <c r="B18" s="6" t="n"/>
      <c r="C18" s="6" t="n"/>
      <c r="D18" s="6" t="n"/>
      <c r="E18" s="6" t="n"/>
      <c r="F18" s="6" t="n"/>
    </row>
    <row r="19">
      <c r="A19" s="6" t="n"/>
      <c r="B19" s="7" t="inlineStr">
        <is>
          <t>LEGENDA DE CORES</t>
        </is>
      </c>
      <c r="C19" s="6" t="n"/>
      <c r="D19" s="6" t="n"/>
      <c r="E19" s="6" t="n"/>
      <c r="F19" s="6" t="n"/>
    </row>
    <row r="20">
      <c r="A20" s="6" t="n"/>
      <c r="B20" s="9" t="inlineStr">
        <is>
          <t>58.900,00</t>
        </is>
      </c>
      <c r="C20" s="10" t="inlineStr">
        <is>
          <t>AZUL (fundo azul-claro) = você PREENCHE: digite ou escolha na lista.</t>
        </is>
      </c>
      <c r="F20" s="6" t="n"/>
    </row>
    <row r="21">
      <c r="A21" s="6" t="n"/>
      <c r="B21" s="11">
        <f>2*617</f>
        <v/>
      </c>
      <c r="C21" s="10" t="inlineStr">
        <is>
          <t>PRETO = CALCULADO automaticamente. Não digite por cima.</t>
        </is>
      </c>
      <c r="F21" s="6" t="n"/>
    </row>
    <row r="22">
      <c r="A22" s="6" t="n"/>
      <c r="B22" s="12" t="inlineStr">
        <is>
          <t>Alerta</t>
        </is>
      </c>
      <c r="C22" s="10" t="inlineStr">
        <is>
          <t>VERMELHO = sinal de alerta: pare, confira e, se preciso, chame um profissional.</t>
        </is>
      </c>
      <c r="F22" s="6" t="n"/>
    </row>
    <row r="23">
      <c r="A23" s="6" t="n"/>
      <c r="B23" s="6" t="n"/>
      <c r="C23" s="6" t="n"/>
      <c r="D23" s="6" t="n"/>
      <c r="E23" s="6" t="n"/>
      <c r="F23" s="6" t="n"/>
    </row>
    <row r="24" ht="30" customHeight="1">
      <c r="A24" s="6" t="n"/>
      <c r="B24" s="13" t="inlineStr">
        <is>
          <t>Preço muito abaixo da referência de mercado (mais de 15% abaixo, ajustável) aparece como alerta: é um dos sinais mais comuns de golpe ou de problema escondido.</t>
        </is>
      </c>
      <c r="F24" s="6" t="n"/>
    </row>
    <row r="25" ht="30" customHeight="1">
      <c r="A25" s="6" t="n"/>
      <c r="B25" s="13" t="inlineStr">
        <is>
          <t>A "melhor opção" é só a soma dos critérios e pesos que você escolheu. Ela não enxerga o que não foi informado.</t>
        </is>
      </c>
      <c r="F25" s="6" t="n"/>
    </row>
    <row r="26">
      <c r="A26" s="6" t="n"/>
      <c r="B26" s="6" t="n"/>
      <c r="C26" s="6" t="n"/>
      <c r="D26" s="6" t="n"/>
      <c r="E26" s="6" t="n"/>
      <c r="F26" s="6" t="n"/>
    </row>
    <row r="27" ht="36" customHeight="1">
      <c r="A27" s="6" t="n"/>
      <c r="B27" s="14" t="inlineStr">
        <is>
          <t>Valores de exemplo fictícios. Esta planilha organiza informações para a SUA decisão: não é recomendação de compra nem conselho financeiro e não substitui a vistoria cautelar profissional, a vistoria oficial do órgão de trânsito nem a orientação de um advogado.</t>
        </is>
      </c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0">
      <c r="A30" s="6" t="n"/>
      <c r="B30" s="6" t="n"/>
      <c r="C30" s="6" t="n"/>
      <c r="D30" s="6" t="n"/>
      <c r="E30" s="6" t="n"/>
      <c r="F30" s="6" t="n"/>
    </row>
    <row r="31">
      <c r="A31" s="6" t="n"/>
      <c r="B31" s="6" t="n"/>
      <c r="C31" s="6" t="n"/>
      <c r="D31" s="6" t="n"/>
      <c r="E31" s="6" t="n"/>
      <c r="F31" s="6" t="n"/>
    </row>
    <row r="32">
      <c r="A32" s="6" t="n"/>
      <c r="B32" s="6" t="n"/>
      <c r="C32" s="6" t="n"/>
      <c r="D32" s="6" t="n"/>
      <c r="E32" s="6" t="n"/>
      <c r="F32" s="6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  <row r="40">
      <c r="A40" s="6" t="n"/>
      <c r="B40" s="6" t="n"/>
      <c r="C40" s="6" t="n"/>
      <c r="D40" s="6" t="n"/>
      <c r="E40" s="6" t="n"/>
      <c r="F40" s="6" t="n"/>
    </row>
    <row r="41">
      <c r="A41" s="6" t="n"/>
      <c r="B41" s="6" t="n"/>
      <c r="C41" s="6" t="n"/>
      <c r="D41" s="6" t="n"/>
      <c r="E41" s="6" t="n"/>
      <c r="F41" s="6" t="n"/>
    </row>
    <row r="42">
      <c r="A42" s="6" t="n"/>
      <c r="B42" s="6" t="n"/>
      <c r="C42" s="6" t="n"/>
      <c r="D42" s="6" t="n"/>
      <c r="E42" s="6" t="n"/>
      <c r="F42" s="6" t="n"/>
    </row>
    <row r="43">
      <c r="A43" s="6" t="n"/>
      <c r="B43" s="6" t="n"/>
      <c r="C43" s="6" t="n"/>
      <c r="D43" s="6" t="n"/>
      <c r="E43" s="6" t="n"/>
      <c r="F43" s="6" t="n"/>
    </row>
    <row r="44">
      <c r="A44" s="6" t="n"/>
      <c r="B44" s="6" t="n"/>
      <c r="C44" s="6" t="n"/>
      <c r="D44" s="6" t="n"/>
      <c r="E44" s="6" t="n"/>
      <c r="F44" s="6" t="n"/>
    </row>
  </sheetData>
  <mergeCells count="16">
    <mergeCell ref="B17:E17"/>
    <mergeCell ref="B27:E27"/>
    <mergeCell ref="B12:E12"/>
    <mergeCell ref="B13:E13"/>
    <mergeCell ref="C22:E22"/>
    <mergeCell ref="B16:E16"/>
    <mergeCell ref="B15:E15"/>
    <mergeCell ref="B11:E11"/>
    <mergeCell ref="B25:E25"/>
    <mergeCell ref="B3:E3"/>
    <mergeCell ref="B2:E2"/>
    <mergeCell ref="B24:E24"/>
    <mergeCell ref="C21:E21"/>
    <mergeCell ref="B5:E6"/>
    <mergeCell ref="C20:E20"/>
    <mergeCell ref="B14:E14"/>
  </mergeCells>
  <printOptions horizontalCentered="1"/>
  <pageMargins left="0.4" right="0.4" top="0.5" bottom="0.5" header="0.5" footer="0.5"/>
  <pageSetup orientation="portrait" paperSize="9" fitToHeight="0" fitToWidth="1"/>
  <headerFooter>
    <oddHeader/>
    <oddFooter>&amp;L&amp;8 Antes de Fechar Negócio&amp;R&amp;8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8" customWidth="1" min="6" max="6"/>
    <col width="46" customWidth="1" min="7" max="7"/>
  </cols>
  <sheetData>
    <row r="1" ht="28" customHeight="1">
      <c r="A1" s="15" t="inlineStr">
        <is>
          <t>ANTES DE FECHAR NEGÓCIO  |  COMPARATIVO DE VEÍCULOS (ATÉ 4)</t>
        </is>
      </c>
      <c r="B1" s="1" t="n"/>
      <c r="C1" s="1" t="n"/>
      <c r="D1" s="1" t="n"/>
      <c r="E1" s="1" t="n"/>
      <c r="F1" s="1" t="n"/>
      <c r="G1" s="1" t="n"/>
    </row>
    <row r="2" ht="32" customHeight="1">
      <c r="A2" s="16" t="inlineStr">
        <is>
          <t>Preencha as células azuis. Coluna sem preço pedido fica em branco. A pontuação é um apoio para organizar a decisão, não uma recomendação de compra.</t>
        </is>
      </c>
    </row>
    <row r="4" ht="30" customHeight="1">
      <c r="A4" s="17" t="inlineStr">
        <is>
          <t>Critério</t>
        </is>
      </c>
      <c r="B4" s="17" t="inlineStr">
        <is>
          <t>Carro 1</t>
        </is>
      </c>
      <c r="C4" s="17" t="inlineStr">
        <is>
          <t>Carro 2</t>
        </is>
      </c>
      <c r="D4" s="17" t="inlineStr">
        <is>
          <t>Carro 3</t>
        </is>
      </c>
      <c r="E4" s="17" t="inlineStr">
        <is>
          <t>Carro 4</t>
        </is>
      </c>
      <c r="F4" s="17" t="inlineStr">
        <is>
          <t>Peso</t>
        </is>
      </c>
      <c r="G4" s="17" t="inlineStr">
        <is>
          <t>Dica</t>
        </is>
      </c>
    </row>
    <row r="5" ht="20" customHeight="1">
      <c r="A5" s="18" t="inlineStr">
        <is>
          <t>1. O ANÚNCIO</t>
        </is>
      </c>
      <c r="B5" s="19" t="n"/>
      <c r="C5" s="19" t="n"/>
      <c r="D5" s="19" t="n"/>
      <c r="E5" s="19" t="n"/>
      <c r="F5" s="19" t="n"/>
      <c r="G5" s="19" t="n"/>
    </row>
    <row r="6" ht="20" customHeight="1">
      <c r="A6" s="20" t="inlineStr">
        <is>
          <t>Carro (marca / modelo / versão)</t>
        </is>
      </c>
      <c r="B6" s="9" t="inlineStr">
        <is>
          <t>Hatch A 1.0 Flex</t>
        </is>
      </c>
      <c r="C6" s="9" t="inlineStr">
        <is>
          <t>Sedã B 1.6 Flex</t>
        </is>
      </c>
      <c r="D6" s="9" t="inlineStr">
        <is>
          <t>Hatch C 1.3 Flex</t>
        </is>
      </c>
      <c r="E6" s="9" t="n"/>
      <c r="F6" s="21" t="n"/>
      <c r="G6" s="22" t="inlineStr">
        <is>
          <t>Um nome curto para você reconhecer o carro.</t>
        </is>
      </c>
    </row>
    <row r="7" ht="20" customHeight="1">
      <c r="A7" s="20" t="inlineStr">
        <is>
          <t>Onde viu (link ou fonte do anúncio)</t>
        </is>
      </c>
      <c r="B7" s="9" t="inlineStr">
        <is>
          <t>Anúncio on-line (cole o link)</t>
        </is>
      </c>
      <c r="C7" s="9" t="inlineStr">
        <is>
          <t>Anúncio on-line (cole o link)</t>
        </is>
      </c>
      <c r="D7" s="9" t="inlineStr">
        <is>
          <t>Loja do bairro</t>
        </is>
      </c>
      <c r="E7" s="9" t="n"/>
      <c r="F7" s="21" t="n"/>
      <c r="G7" s="22" t="inlineStr">
        <is>
          <t>Cole o link ou anote onde viu. Tire print do anúncio.</t>
        </is>
      </c>
    </row>
    <row r="8" ht="30" customHeight="1">
      <c r="A8" s="20" t="inlineStr">
        <is>
          <t>Vendedor</t>
        </is>
      </c>
      <c r="B8" s="9" t="inlineStr">
        <is>
          <t>Particular</t>
        </is>
      </c>
      <c r="C8" s="9" t="inlineStr">
        <is>
          <t>Particular</t>
        </is>
      </c>
      <c r="D8" s="9" t="inlineStr">
        <is>
          <t>Loja</t>
        </is>
      </c>
      <c r="E8" s="9" t="n"/>
      <c r="F8" s="21" t="n"/>
      <c r="G8" s="22" t="inlineStr">
        <is>
          <t>Particular ou loja. Na loja vale também o Código de Defesa do Consumidor.</t>
        </is>
      </c>
    </row>
    <row r="9" ht="20" customHeight="1">
      <c r="A9" s="20" t="inlineStr">
        <is>
          <t>Preço pedido (R$)</t>
        </is>
      </c>
      <c r="B9" s="23" t="n">
        <v>58900</v>
      </c>
      <c r="C9" s="23" t="n">
        <v>45900</v>
      </c>
      <c r="D9" s="23" t="n">
        <v>64900</v>
      </c>
      <c r="E9" s="23" t="n"/>
      <c r="F9" s="21" t="n"/>
      <c r="G9" s="22" t="inlineStr">
        <is>
          <t>Preço do anúncio. Sem preço pedido, a coluna fica em branco.</t>
        </is>
      </c>
    </row>
    <row r="10" ht="20" customHeight="1">
      <c r="A10" s="20" t="inlineStr">
        <is>
          <t>Preço negociado (R$)</t>
        </is>
      </c>
      <c r="B10" s="23" t="n">
        <v>56500</v>
      </c>
      <c r="C10" s="23" t="n"/>
      <c r="D10" s="23" t="n">
        <v>62900</v>
      </c>
      <c r="E10" s="23" t="n"/>
      <c r="F10" s="21" t="n"/>
      <c r="G10" s="22" t="inlineStr">
        <is>
          <t>Se já negociou, anote aqui. Em branco = usa o preço pedido.</t>
        </is>
      </c>
    </row>
    <row r="11" ht="20" customHeight="1">
      <c r="A11" s="20" t="inlineStr">
        <is>
          <t>Preço considerado (R$)</t>
        </is>
      </c>
      <c r="B11" s="24">
        <f>IF(B9="","",IF(B10&lt;&gt;"",B10,B9))</f>
        <v/>
      </c>
      <c r="C11" s="24">
        <f>IF(C9="","",IF(C10&lt;&gt;"",C10,C9))</f>
        <v/>
      </c>
      <c r="D11" s="24">
        <f>IF(D9="","",IF(D10&lt;&gt;"",D10,D9))</f>
        <v/>
      </c>
      <c r="E11" s="24">
        <f>IF(E9="","",IF(E10&lt;&gt;"",E10,E9))</f>
        <v/>
      </c>
      <c r="F11" s="21" t="n"/>
      <c r="G11" s="22" t="inlineStr">
        <is>
          <t>Negociado, se houver; senão, o pedido.</t>
        </is>
      </c>
    </row>
    <row r="12" ht="20" customHeight="1">
      <c r="A12" s="18" t="inlineStr">
        <is>
          <t>2. O CARRO</t>
        </is>
      </c>
      <c r="B12" s="19" t="n"/>
      <c r="C12" s="19" t="n"/>
      <c r="D12" s="19" t="n"/>
      <c r="E12" s="19" t="n"/>
      <c r="F12" s="19" t="n"/>
      <c r="G12" s="19" t="n"/>
    </row>
    <row r="13" ht="20" customHeight="1">
      <c r="A13" s="20" t="inlineStr">
        <is>
          <t>Ano de fabricação</t>
        </is>
      </c>
      <c r="B13" s="25" t="n">
        <v>2020</v>
      </c>
      <c r="C13" s="25" t="n">
        <v>2019</v>
      </c>
      <c r="D13" s="25" t="n">
        <v>2021</v>
      </c>
      <c r="E13" s="25" t="n"/>
      <c r="F13" s="21" t="n"/>
      <c r="G13" s="22" t="inlineStr">
        <is>
          <t>Confira no documento do veículo, não só no anúncio.</t>
        </is>
      </c>
    </row>
    <row r="14" ht="20" customHeight="1">
      <c r="A14" s="20" t="inlineStr">
        <is>
          <t>Ano do modelo</t>
        </is>
      </c>
      <c r="B14" s="25" t="n">
        <v>2021</v>
      </c>
      <c r="C14" s="25" t="n">
        <v>2019</v>
      </c>
      <c r="D14" s="25" t="n">
        <v>2022</v>
      </c>
      <c r="E14" s="25" t="n"/>
      <c r="F14" s="21" t="n"/>
      <c r="G14" s="22" t="inlineStr"/>
    </row>
    <row r="15" ht="20" customHeight="1">
      <c r="A15" s="20" t="inlineStr">
        <is>
          <t>Quilometragem (km)</t>
        </is>
      </c>
      <c r="B15" s="26" t="n">
        <v>62000</v>
      </c>
      <c r="C15" s="26" t="n">
        <v>98000</v>
      </c>
      <c r="D15" s="26" t="n">
        <v>41000</v>
      </c>
      <c r="E15" s="26" t="n"/>
      <c r="F15" s="21" t="n"/>
      <c r="G15" s="22" t="inlineStr">
        <is>
          <t>O que aparece no painel, conferido na visita.</t>
        </is>
      </c>
    </row>
    <row r="16" ht="30" customHeight="1">
      <c r="A16" s="20" t="inlineStr">
        <is>
          <t>Km por ano (aprox.)</t>
        </is>
      </c>
      <c r="B16" s="27">
        <f>IF(OR(B9="",B15="",B13=""),"",B15/MAX(1,$B$60-B13))</f>
        <v/>
      </c>
      <c r="C16" s="27">
        <f>IF(OR(C9="",C15="",C13=""),"",C15/MAX(1,$B$60-C13))</f>
        <v/>
      </c>
      <c r="D16" s="27">
        <f>IF(OR(D9="",D15="",D13=""),"",D15/MAX(1,$B$60-D13))</f>
        <v/>
      </c>
      <c r="E16" s="27">
        <f>IF(OR(E9="",E15="",E13=""),"",E15/MAX(1,$B$60-E13))</f>
        <v/>
      </c>
      <c r="F16" s="21" t="n"/>
      <c r="G16" s="22" t="inlineStr">
        <is>
          <t>Km ÷ anos de uso (ano de referência − fabricação). Muito baixo ou muito alto merece pergunta.</t>
        </is>
      </c>
    </row>
    <row r="17" ht="20" customHeight="1">
      <c r="A17" s="20" t="inlineStr">
        <is>
          <t>Cor</t>
        </is>
      </c>
      <c r="B17" s="9" t="inlineStr">
        <is>
          <t>Prata</t>
        </is>
      </c>
      <c r="C17" s="9" t="inlineStr">
        <is>
          <t>Branco</t>
        </is>
      </c>
      <c r="D17" s="9" t="inlineStr">
        <is>
          <t>Cinza</t>
        </is>
      </c>
      <c r="E17" s="9" t="n"/>
      <c r="F17" s="21" t="n"/>
      <c r="G17" s="22" t="inlineStr"/>
    </row>
    <row r="18" ht="20" customHeight="1">
      <c r="A18" s="20" t="inlineStr">
        <is>
          <t>Câmbio</t>
        </is>
      </c>
      <c r="B18" s="9" t="inlineStr">
        <is>
          <t>Manual</t>
        </is>
      </c>
      <c r="C18" s="9" t="inlineStr">
        <is>
          <t>Automático</t>
        </is>
      </c>
      <c r="D18" s="9" t="inlineStr">
        <is>
          <t>Automático</t>
        </is>
      </c>
      <c r="E18" s="9" t="n"/>
      <c r="F18" s="21" t="n"/>
      <c r="G18" s="22" t="inlineStr"/>
    </row>
    <row r="19" ht="20" customHeight="1">
      <c r="A19" s="20" t="inlineStr">
        <is>
          <t>Combustível</t>
        </is>
      </c>
      <c r="B19" s="9" t="inlineStr">
        <is>
          <t>Flex</t>
        </is>
      </c>
      <c r="C19" s="9" t="inlineStr">
        <is>
          <t>Flex</t>
        </is>
      </c>
      <c r="D19" s="9" t="inlineStr">
        <is>
          <t>Flex</t>
        </is>
      </c>
      <c r="E19" s="9" t="n"/>
      <c r="F19" s="21" t="n"/>
      <c r="G19" s="22" t="inlineStr"/>
    </row>
    <row r="20" ht="30" customHeight="1">
      <c r="A20" s="20" t="inlineStr">
        <is>
          <t>Consumo informado (km/l)</t>
        </is>
      </c>
      <c r="B20" s="28" t="n">
        <v>12.5</v>
      </c>
      <c r="C20" s="28" t="n">
        <v>10.8</v>
      </c>
      <c r="D20" s="28" t="n">
        <v>12</v>
      </c>
      <c r="E20" s="28" t="n"/>
      <c r="F20" s="21" t="n"/>
      <c r="G20" s="22" t="inlineStr">
        <is>
          <t>Informado pelo vendedor ou pelo fabricante. Use na planilha de custo.</t>
        </is>
      </c>
    </row>
    <row r="21" ht="20" customHeight="1">
      <c r="A21" s="18" t="inlineStr">
        <is>
          <t>3. PREÇO x MERCADO</t>
        </is>
      </c>
      <c r="B21" s="19" t="n"/>
      <c r="C21" s="19" t="n"/>
      <c r="D21" s="19" t="n"/>
      <c r="E21" s="19" t="n"/>
      <c r="F21" s="19" t="n"/>
      <c r="G21" s="19" t="n"/>
    </row>
    <row r="22" ht="30" customHeight="1">
      <c r="A22" s="20" t="inlineStr">
        <is>
          <t>Valor de referência de mercado (R$)</t>
        </is>
      </c>
      <c r="B22" s="23" t="n">
        <v>59000</v>
      </c>
      <c r="C22" s="23" t="n">
        <v>61000</v>
      </c>
      <c r="D22" s="23" t="n">
        <v>63500</v>
      </c>
      <c r="E22" s="23" t="n"/>
      <c r="F22" s="21" t="n"/>
      <c r="G22" s="22" t="inlineStr">
        <is>
          <t>Valor que você consultou numa tabela de referência de preços de usados (mesmo ano/modelo/versão).</t>
        </is>
      </c>
    </row>
    <row r="23" ht="20" customHeight="1">
      <c r="A23" s="20" t="inlineStr">
        <is>
          <t>Diferença do preço vs referência (%)</t>
        </is>
      </c>
      <c r="B23" s="29">
        <f>IF(OR(B9="",N(B22)=0),"",B11/B22-1)</f>
        <v/>
      </c>
      <c r="C23" s="29">
        <f>IF(OR(C9="",N(C22)=0),"",C11/C22-1)</f>
        <v/>
      </c>
      <c r="D23" s="29">
        <f>IF(OR(D9="",N(D22)=0),"",D11/D22-1)</f>
        <v/>
      </c>
      <c r="E23" s="29">
        <f>IF(OR(E9="",N(E22)=0),"",E11/E22-1)</f>
        <v/>
      </c>
      <c r="F23" s="21" t="n"/>
      <c r="G23" s="22" t="inlineStr">
        <is>
          <t>Negativo = mais barato que a referência.</t>
        </is>
      </c>
    </row>
    <row r="24" ht="44" customHeight="1">
      <c r="A24" s="20" t="inlineStr">
        <is>
          <t>Alerta de preço</t>
        </is>
      </c>
      <c r="B24" s="30">
        <f>IF(B23="","",IF(ROUND(B23,4)&lt;$B$61,"Preço muito abaixo da referência: redobre a atenção",IF(ROUND(B23,4)&gt;$B$62,"Acima da referência: argumento para negociar","Dentro da faixa da referência")))</f>
        <v/>
      </c>
      <c r="C24" s="30">
        <f>IF(C23="","",IF(ROUND(C23,4)&lt;$B$61,"Preço muito abaixo da referência: redobre a atenção",IF(ROUND(C23,4)&gt;$B$62,"Acima da referência: argumento para negociar","Dentro da faixa da referência")))</f>
        <v/>
      </c>
      <c r="D24" s="30">
        <f>IF(D23="","",IF(ROUND(D23,4)&lt;$B$61,"Preço muito abaixo da referência: redobre a atenção",IF(ROUND(D23,4)&gt;$B$62,"Acima da referência: argumento para negociar","Dentro da faixa da referência")))</f>
        <v/>
      </c>
      <c r="E24" s="30">
        <f>IF(E23="","",IF(ROUND(E23,4)&lt;$B$61,"Preço muito abaixo da referência: redobre a atenção",IF(ROUND(E23,4)&gt;$B$62,"Acima da referência: argumento para negociar","Dentro da faixa da referência")))</f>
        <v/>
      </c>
      <c r="F24" s="21" t="n"/>
      <c r="G24" s="22" t="inlineStr">
        <is>
          <t>Muito abaixo da referência é um sinal clássico de golpe ou de problema escondido.</t>
        </is>
      </c>
    </row>
    <row r="25" ht="20" customHeight="1">
      <c r="A25" s="18" t="inlineStr">
        <is>
          <t>4. HISTÓRICO</t>
        </is>
      </c>
      <c r="B25" s="19" t="n"/>
      <c r="C25" s="19" t="n"/>
      <c r="D25" s="19" t="n"/>
      <c r="E25" s="19" t="n"/>
      <c r="F25" s="19" t="n"/>
      <c r="G25" s="19" t="n"/>
    </row>
    <row r="26" ht="20" customHeight="1">
      <c r="A26" s="20" t="inlineStr">
        <is>
          <t>Nº de donos (1 = único dono)</t>
        </is>
      </c>
      <c r="B26" s="25" t="n">
        <v>1</v>
      </c>
      <c r="C26" s="25" t="n">
        <v>3</v>
      </c>
      <c r="D26" s="25" t="n">
        <v>1</v>
      </c>
      <c r="E26" s="25" t="n"/>
      <c r="F26" s="21" t="n"/>
      <c r="G26" s="22" t="inlineStr">
        <is>
          <t>Pergunte e confira no documento/histórico quando possível.</t>
        </is>
      </c>
    </row>
    <row r="27" ht="20" customHeight="1">
      <c r="A27" s="20" t="inlineStr">
        <is>
          <t>Revisões comprovadas? (S/N)</t>
        </is>
      </c>
      <c r="B27" s="9" t="inlineStr">
        <is>
          <t>S</t>
        </is>
      </c>
      <c r="C27" s="9" t="inlineStr">
        <is>
          <t>N</t>
        </is>
      </c>
      <c r="D27" s="9" t="inlineStr">
        <is>
          <t>S</t>
        </is>
      </c>
      <c r="E27" s="9" t="n"/>
      <c r="F27" s="21" t="n"/>
      <c r="G27" s="22" t="inlineStr">
        <is>
          <t>S = tem notas fiscais ou manual carimbado para conferir.</t>
        </is>
      </c>
    </row>
    <row r="28" ht="20" customHeight="1">
      <c r="A28" s="18" t="inlineStr">
        <is>
          <t>5. CONSULTAS FEITAS (OK / Pendente / Alerta)</t>
        </is>
      </c>
      <c r="B28" s="19" t="n"/>
      <c r="C28" s="19" t="n"/>
      <c r="D28" s="19" t="n"/>
      <c r="E28" s="19" t="n"/>
      <c r="F28" s="19" t="n"/>
      <c r="G28" s="19" t="n"/>
    </row>
    <row r="29" ht="20" customHeight="1">
      <c r="A29" s="20" t="inlineStr">
        <is>
          <t>Débitos (IPVA, licenciamento, multas)</t>
        </is>
      </c>
      <c r="B29" s="9" t="inlineStr">
        <is>
          <t>OK</t>
        </is>
      </c>
      <c r="C29" s="9" t="inlineStr">
        <is>
          <t>Pendente</t>
        </is>
      </c>
      <c r="D29" s="9" t="inlineStr">
        <is>
          <t>OK</t>
        </is>
      </c>
      <c r="E29" s="9" t="n"/>
      <c r="F29" s="21" t="n"/>
      <c r="G29" s="22" t="inlineStr">
        <is>
          <t>OK = consultou e está tudo certo. Alerta = achou problema.</t>
        </is>
      </c>
    </row>
    <row r="30" ht="30" customHeight="1">
      <c r="A30" s="20" t="inlineStr">
        <is>
          <t>Restrições (judicial, administrativa, furto/roubo)</t>
        </is>
      </c>
      <c r="B30" s="9" t="inlineStr">
        <is>
          <t>OK</t>
        </is>
      </c>
      <c r="C30" s="9" t="inlineStr">
        <is>
          <t>OK</t>
        </is>
      </c>
      <c r="D30" s="9" t="inlineStr">
        <is>
          <t>OK</t>
        </is>
      </c>
      <c r="E30" s="9" t="n"/>
      <c r="F30" s="21" t="n"/>
      <c r="G30" s="22" t="inlineStr"/>
    </row>
    <row r="31" ht="20" customHeight="1">
      <c r="A31" s="20" t="inlineStr">
        <is>
          <t>Gravame (financiamento/alienação em aberto)</t>
        </is>
      </c>
      <c r="B31" s="9" t="inlineStr">
        <is>
          <t>OK</t>
        </is>
      </c>
      <c r="C31" s="9" t="inlineStr">
        <is>
          <t>OK</t>
        </is>
      </c>
      <c r="D31" s="9" t="inlineStr">
        <is>
          <t>OK</t>
        </is>
      </c>
      <c r="E31" s="9" t="n"/>
      <c r="F31" s="21" t="n"/>
      <c r="G31" s="22" t="inlineStr"/>
    </row>
    <row r="32" ht="20" customHeight="1">
      <c r="A32" s="20" t="inlineStr">
        <is>
          <t>Recall pendente</t>
        </is>
      </c>
      <c r="B32" s="9" t="inlineStr">
        <is>
          <t>OK</t>
        </is>
      </c>
      <c r="C32" s="9" t="inlineStr">
        <is>
          <t>OK</t>
        </is>
      </c>
      <c r="D32" s="9" t="inlineStr">
        <is>
          <t>Pendente</t>
        </is>
      </c>
      <c r="E32" s="9" t="n"/>
      <c r="F32" s="21" t="n"/>
      <c r="G32" s="22" t="inlineStr">
        <is>
          <t>Consulte pelo chassi no canal oficial do fabricante.</t>
        </is>
      </c>
    </row>
    <row r="33" ht="20" customHeight="1">
      <c r="A33" s="20" t="inlineStr">
        <is>
          <t>Histórico de leilão / sinistro</t>
        </is>
      </c>
      <c r="B33" s="9" t="inlineStr">
        <is>
          <t>OK</t>
        </is>
      </c>
      <c r="C33" s="9" t="inlineStr">
        <is>
          <t>Alerta</t>
        </is>
      </c>
      <c r="D33" s="9" t="inlineStr">
        <is>
          <t>OK</t>
        </is>
      </c>
      <c r="E33" s="9" t="n"/>
      <c r="F33" s="21" t="n"/>
      <c r="G33" s="22" t="inlineStr"/>
    </row>
    <row r="34" ht="30" customHeight="1">
      <c r="A34" s="20" t="inlineStr">
        <is>
          <t>Resumo das consultas</t>
        </is>
      </c>
      <c r="B34" s="30">
        <f>IF(B9="","",IF(COUNTIF(B29:B33,"Alerta")&gt;0,"ALERTA em "&amp;COUNTIF(B29:B33,"Alerta")&amp;" consulta(s)",IF(COUNTIF(B29:B33,"OK")=5,"Todas OK","Faltam "&amp;(5-COUNTIF(B29:B33,"OK"))&amp;" consulta(s)")))</f>
        <v/>
      </c>
      <c r="C34" s="30">
        <f>IF(C9="","",IF(COUNTIF(C29:C33,"Alerta")&gt;0,"ALERTA em "&amp;COUNTIF(C29:C33,"Alerta")&amp;" consulta(s)",IF(COUNTIF(C29:C33,"OK")=5,"Todas OK","Faltam "&amp;(5-COUNTIF(C29:C33,"OK"))&amp;" consulta(s)")))</f>
        <v/>
      </c>
      <c r="D34" s="30">
        <f>IF(D9="","",IF(COUNTIF(D29:D33,"Alerta")&gt;0,"ALERTA em "&amp;COUNTIF(D29:D33,"Alerta")&amp;" consulta(s)",IF(COUNTIF(D29:D33,"OK")=5,"Todas OK","Faltam "&amp;(5-COUNTIF(D29:D33,"OK"))&amp;" consulta(s)")))</f>
        <v/>
      </c>
      <c r="E34" s="30">
        <f>IF(E9="","",IF(COUNTIF(E29:E33,"Alerta")&gt;0,"ALERTA em "&amp;COUNTIF(E29:E33,"Alerta")&amp;" consulta(s)",IF(COUNTIF(E29:E33,"OK")=5,"Todas OK","Faltam "&amp;(5-COUNTIF(E29:E33,"OK"))&amp;" consulta(s)")))</f>
        <v/>
      </c>
      <c r="F34" s="21" t="n"/>
      <c r="G34" s="22" t="inlineStr">
        <is>
          <t>Qualquer Alerta tira o carro da disputa até ser esclarecido.</t>
        </is>
      </c>
    </row>
    <row r="35" ht="20" customHeight="1">
      <c r="A35" s="18" t="inlineStr">
        <is>
          <t>6. LAUDO CAUTELAR E REPAROS</t>
        </is>
      </c>
      <c r="B35" s="19" t="n"/>
      <c r="C35" s="19" t="n"/>
      <c r="D35" s="19" t="n"/>
      <c r="E35" s="19" t="n"/>
      <c r="F35" s="19" t="n"/>
      <c r="G35" s="19" t="n"/>
    </row>
    <row r="36" ht="30" customHeight="1">
      <c r="A36" s="20" t="inlineStr">
        <is>
          <t>Resultado do laudo cautelar</t>
        </is>
      </c>
      <c r="B36" s="9" t="inlineStr">
        <is>
          <t>Aprovado com apontamentos</t>
        </is>
      </c>
      <c r="C36" s="9" t="inlineStr">
        <is>
          <t>Reprovado</t>
        </is>
      </c>
      <c r="D36" s="9" t="inlineStr">
        <is>
          <t>Aprovado</t>
        </is>
      </c>
      <c r="E36" s="9" t="n"/>
      <c r="F36" s="21" t="n"/>
      <c r="G36" s="22" t="inlineStr">
        <is>
          <t>Classificação do laudo feito por vistoriador. Reprovado/Inconclusivo tira o carro da disputa.</t>
        </is>
      </c>
    </row>
    <row r="37" ht="30" customHeight="1">
      <c r="A37" s="20" t="inlineStr">
        <is>
          <t>Custo estimado de reparos (R$)</t>
        </is>
      </c>
      <c r="B37" s="23" t="n">
        <v>1200</v>
      </c>
      <c r="C37" s="23" t="n">
        <v>6500</v>
      </c>
      <c r="D37" s="23" t="n">
        <v>400</v>
      </c>
      <c r="E37" s="23" t="n"/>
      <c r="F37" s="21" t="n"/>
      <c r="G37" s="22" t="inlineStr">
        <is>
          <t>Orçamento de oficina de confiança para o que o laudo apontou.</t>
        </is>
      </c>
    </row>
    <row r="38" ht="20" customHeight="1">
      <c r="A38" s="18" t="inlineStr">
        <is>
          <t>7. CUSTO TOTAL DA COMPRA</t>
        </is>
      </c>
      <c r="B38" s="19" t="n"/>
      <c r="C38" s="19" t="n"/>
      <c r="D38" s="19" t="n"/>
      <c r="E38" s="19" t="n"/>
      <c r="F38" s="19" t="n"/>
      <c r="G38" s="19" t="n"/>
    </row>
    <row r="39" ht="30" customHeight="1">
      <c r="A39" s="20" t="inlineStr">
        <is>
          <t>Transferência e taxas (R$)</t>
        </is>
      </c>
      <c r="B39" s="23" t="n">
        <v>1000</v>
      </c>
      <c r="C39" s="23" t="n">
        <v>1000</v>
      </c>
      <c r="D39" s="23" t="n">
        <v>1000</v>
      </c>
      <c r="E39" s="23" t="n"/>
      <c r="F39" s="21" t="n"/>
      <c r="G39" s="22" t="inlineStr">
        <is>
          <t>Estimativa. Valores reais: órgão de trânsito do seu estado (veja a planilha 2).</t>
        </is>
      </c>
    </row>
    <row r="40" ht="20" customHeight="1">
      <c r="A40" s="20" t="inlineStr">
        <is>
          <t>Reserva de imprevistos (R$)</t>
        </is>
      </c>
      <c r="B40" s="24">
        <f>IF(B9="","",B11*$B$63)</f>
        <v/>
      </c>
      <c r="C40" s="24">
        <f>IF(C9="","",C11*$B$63)</f>
        <v/>
      </c>
      <c r="D40" s="24">
        <f>IF(D9="","",D11*$B$63)</f>
        <v/>
      </c>
      <c r="E40" s="24">
        <f>IF(E9="","",E11*$B$63)</f>
        <v/>
      </c>
      <c r="F40" s="21" t="n"/>
      <c r="G40" s="22" t="inlineStr">
        <is>
          <t>Preço considerado × % de reserva (parâmetro abaixo).</t>
        </is>
      </c>
    </row>
    <row r="41" ht="30" customHeight="1">
      <c r="A41" s="20" t="inlineStr">
        <is>
          <t>Custo total da planilha 2 (opcional)</t>
        </is>
      </c>
      <c r="B41" s="23" t="n"/>
      <c r="C41" s="23" t="n"/>
      <c r="D41" s="23" t="n"/>
      <c r="E41" s="23" t="n"/>
      <c r="F41" s="21" t="n"/>
      <c r="G41" s="22" t="inlineStr">
        <is>
          <t>Se fez a planilha 2 para este carro, cole o total aqui: ele passa a valer.</t>
        </is>
      </c>
    </row>
    <row r="42" ht="30" customHeight="1">
      <c r="A42" s="31" t="inlineStr">
        <is>
          <t>CUSTO TOTAL DA COMPRA (R$)</t>
        </is>
      </c>
      <c r="B42" s="32">
        <f>IF(B9="","",IF(N(B41)&gt;0,B41,B11+N(B39)+N(B37)+B40))</f>
        <v/>
      </c>
      <c r="C42" s="32">
        <f>IF(C9="","",IF(N(C41)&gt;0,C41,C11+N(C39)+N(C37)+C40))</f>
        <v/>
      </c>
      <c r="D42" s="32">
        <f>IF(D9="","",IF(N(D41)&gt;0,D41,D11+N(D39)+N(D37)+D40))</f>
        <v/>
      </c>
      <c r="E42" s="32">
        <f>IF(E9="","",IF(N(E41)&gt;0,E41,E11+N(E39)+N(E37)+E40))</f>
        <v/>
      </c>
      <c r="F42" s="21" t="n"/>
      <c r="G42" s="22" t="inlineStr">
        <is>
          <t>Planilha 2, se preenchido; senão: preço + transferência + reparos + reserva.</t>
        </is>
      </c>
    </row>
    <row r="43" ht="20" customHeight="1">
      <c r="A43" s="18" t="inlineStr">
        <is>
          <t>8. PONTUAÇÃO (0 a 10) — ajuste os pesos na coluna F</t>
        </is>
      </c>
      <c r="B43" s="19" t="n"/>
      <c r="C43" s="19" t="n"/>
      <c r="D43" s="19" t="n"/>
      <c r="E43" s="19" t="n"/>
      <c r="F43" s="19" t="n"/>
      <c r="G43" s="19" t="n"/>
    </row>
    <row r="44" ht="20" customHeight="1">
      <c r="A44" s="20" t="inlineStr">
        <is>
          <t>Custo total (menor = melhor)</t>
        </is>
      </c>
      <c r="B44" s="33">
        <f>IF(B9="","",IF(N(B42)=0,0,10*MIN($B$42:$E$42)/B42))</f>
        <v/>
      </c>
      <c r="C44" s="33">
        <f>IF(C9="","",IF(N(C42)=0,0,10*MIN($B$42:$E$42)/C42))</f>
        <v/>
      </c>
      <c r="D44" s="33">
        <f>IF(D9="","",IF(N(D42)=0,0,10*MIN($B$42:$E$42)/D42))</f>
        <v/>
      </c>
      <c r="E44" s="33">
        <f>IF(E9="","",IF(N(E42)=0,0,10*MIN($B$42:$E$42)/E42))</f>
        <v/>
      </c>
      <c r="F44" s="25" t="n">
        <v>30</v>
      </c>
      <c r="G44" s="22" t="inlineStr">
        <is>
          <t>10 para o menor custo total; os demais, proporcional.</t>
        </is>
      </c>
    </row>
    <row r="45" ht="30" customHeight="1">
      <c r="A45" s="20" t="inlineStr">
        <is>
          <t>Km por ano</t>
        </is>
      </c>
      <c r="B45" s="33">
        <f>IF(B9="","",IF(B16="",0,MAX(0,MIN(10,10-(B16-10000)/2000))))</f>
        <v/>
      </c>
      <c r="C45" s="33">
        <f>IF(C9="","",IF(C16="",0,MAX(0,MIN(10,10-(C16-10000)/2000))))</f>
        <v/>
      </c>
      <c r="D45" s="33">
        <f>IF(D9="","",IF(D16="",0,MAX(0,MIN(10,10-(D16-10000)/2000))))</f>
        <v/>
      </c>
      <c r="E45" s="33">
        <f>IF(E9="","",IF(E16="",0,MAX(0,MIN(10,10-(E16-10000)/2000))))</f>
        <v/>
      </c>
      <c r="F45" s="25" t="n">
        <v>15</v>
      </c>
      <c r="G45" s="22" t="inlineStr">
        <is>
          <t>10 até 10.000 km/ano; cai 1 ponto a cada 2.000 km/ano a mais (0 em 30.000).</t>
        </is>
      </c>
    </row>
    <row r="46" ht="30" customHeight="1">
      <c r="A46" s="20" t="inlineStr">
        <is>
          <t>Histórico (donos + revisões)</t>
        </is>
      </c>
      <c r="B46" s="33">
        <f>IF(B9="","",IF(B26="",0,IF(B26&lt;=1,5,IF(B26=2,3,1)))+IF(B27="S",5,0))</f>
        <v/>
      </c>
      <c r="C46" s="33">
        <f>IF(C9="","",IF(C26="",0,IF(C26&lt;=1,5,IF(C26=2,3,1)))+IF(C27="S",5,0))</f>
        <v/>
      </c>
      <c r="D46" s="33">
        <f>IF(D9="","",IF(D26="",0,IF(D26&lt;=1,5,IF(D26=2,3,1)))+IF(D27="S",5,0))</f>
        <v/>
      </c>
      <c r="E46" s="33">
        <f>IF(E9="","",IF(E26="",0,IF(E26&lt;=1,5,IF(E26=2,3,1)))+IF(E27="S",5,0))</f>
        <v/>
      </c>
      <c r="F46" s="25" t="n">
        <v>15</v>
      </c>
      <c r="G46" s="22" t="inlineStr">
        <is>
          <t>Donos: 1 = 5 pts, 2 = 3, 3 ou mais = 1. Revisões comprovadas = +5.</t>
        </is>
      </c>
    </row>
    <row r="47" ht="30" customHeight="1">
      <c r="A47" s="20" t="inlineStr">
        <is>
          <t>Laudo cautelar</t>
        </is>
      </c>
      <c r="B47" s="33">
        <f>IF(B9="","",IF(B36="Aprovado",10,IF(B36="Aprovado com apontamentos",6,IF(OR(B36="Não feito",B36=""),2,0))))</f>
        <v/>
      </c>
      <c r="C47" s="33">
        <f>IF(C9="","",IF(C36="Aprovado",10,IF(C36="Aprovado com apontamentos",6,IF(OR(C36="Não feito",C36=""),2,0))))</f>
        <v/>
      </c>
      <c r="D47" s="33">
        <f>IF(D9="","",IF(D36="Aprovado",10,IF(D36="Aprovado com apontamentos",6,IF(OR(D36="Não feito",D36=""),2,0))))</f>
        <v/>
      </c>
      <c r="E47" s="33">
        <f>IF(E9="","",IF(E36="Aprovado",10,IF(E36="Aprovado com apontamentos",6,IF(OR(E36="Não feito",E36=""),2,0))))</f>
        <v/>
      </c>
      <c r="F47" s="25" t="n">
        <v>20</v>
      </c>
      <c r="G47" s="22" t="inlineStr">
        <is>
          <t>Aprovado 10 · Com apontamentos 6 · Não feito/em branco 2 · Reprovado/Inconclusivo 0.</t>
        </is>
      </c>
    </row>
    <row r="48" ht="20" customHeight="1">
      <c r="A48" s="20" t="inlineStr">
        <is>
          <t>Consultas</t>
        </is>
      </c>
      <c r="B48" s="33">
        <f>IF(B9="","",IF(COUNTIF(B29:B33,"Alerta")&gt;0,0,2*COUNTIF(B29:B33,"OK")))</f>
        <v/>
      </c>
      <c r="C48" s="33">
        <f>IF(C9="","",IF(COUNTIF(C29:C33,"Alerta")&gt;0,0,2*COUNTIF(C29:C33,"OK")))</f>
        <v/>
      </c>
      <c r="D48" s="33">
        <f>IF(D9="","",IF(COUNTIF(D29:D33,"Alerta")&gt;0,0,2*COUNTIF(D29:D33,"OK")))</f>
        <v/>
      </c>
      <c r="E48" s="33">
        <f>IF(E9="","",IF(COUNTIF(E29:E33,"Alerta")&gt;0,0,2*COUNTIF(E29:E33,"OK")))</f>
        <v/>
      </c>
      <c r="F48" s="25" t="n">
        <v>10</v>
      </c>
      <c r="G48" s="22" t="inlineStr">
        <is>
          <t>2 pontos por consulta OK; qualquer Alerta = 0.</t>
        </is>
      </c>
    </row>
    <row r="49" ht="30" customHeight="1">
      <c r="A49" s="20" t="inlineStr">
        <is>
          <t>Sua nota pessoal (conforto, espaço, test drive)</t>
        </is>
      </c>
      <c r="B49" s="25" t="n">
        <v>7</v>
      </c>
      <c r="C49" s="25" t="n">
        <v>9</v>
      </c>
      <c r="D49" s="25" t="n">
        <v>8</v>
      </c>
      <c r="E49" s="25" t="n"/>
      <c r="F49" s="25" t="n">
        <v>10</v>
      </c>
      <c r="G49" s="22" t="inlineStr">
        <is>
          <t>Você dá a nota de 0 a 10.</t>
        </is>
      </c>
    </row>
    <row r="50" ht="20" customHeight="1">
      <c r="A50" s="31" t="inlineStr">
        <is>
          <t>PONTUAÇÃO FINAL (0 a 10)</t>
        </is>
      </c>
      <c r="B50" s="34">
        <f>IF(OR(B9="",SUM($F$44:$F$49)=0),"",SUMPRODUCT(B44:B49,$F$44:$F$49)/SUM($F$44:$F$49))</f>
        <v/>
      </c>
      <c r="C50" s="34">
        <f>IF(OR(C9="",SUM($F$44:$F$49)=0),"",SUMPRODUCT(C44:C49,$F$44:$F$49)/SUM($F$44:$F$49))</f>
        <v/>
      </c>
      <c r="D50" s="34">
        <f>IF(OR(D9="",SUM($F$44:$F$49)=0),"",SUMPRODUCT(D44:D49,$F$44:$F$49)/SUM($F$44:$F$49))</f>
        <v/>
      </c>
      <c r="E50" s="34">
        <f>IF(OR(E9="",SUM($F$44:$F$49)=0),"",SUMPRODUCT(E44:E49,$F$44:$F$49)/SUM($F$44:$F$49))</f>
        <v/>
      </c>
      <c r="F50" s="21" t="n"/>
      <c r="G50" s="22" t="inlineStr">
        <is>
          <t>Média ponderada pelas notas e pesos acima.</t>
        </is>
      </c>
    </row>
    <row r="51" ht="44" customHeight="1">
      <c r="A51" s="31" t="inlineStr">
        <is>
          <t>Situação</t>
        </is>
      </c>
      <c r="B51" s="35">
        <f>IF(B9="","",IF(OR(B36="Reprovado",B36="Inconclusivo",COUNTIF(B29:B33,"Alerta")&gt;0),"Não recomendado sem avaliação adicional",IF(OR(B36="",B36="Não feito"),"Sem laudo cautelar: faça antes de decidir",IF(COUNTIF(B29:B33,"OK")&lt;5,"Consultas incompletas: termine antes de pagar","Sem restrições registradas"))))</f>
        <v/>
      </c>
      <c r="C51" s="35">
        <f>IF(C9="","",IF(OR(C36="Reprovado",C36="Inconclusivo",COUNTIF(C29:C33,"Alerta")&gt;0),"Não recomendado sem avaliação adicional",IF(OR(C36="",C36="Não feito"),"Sem laudo cautelar: faça antes de decidir",IF(COUNTIF(C29:C33,"OK")&lt;5,"Consultas incompletas: termine antes de pagar","Sem restrições registradas"))))</f>
        <v/>
      </c>
      <c r="D51" s="35">
        <f>IF(D9="","",IF(OR(D36="Reprovado",D36="Inconclusivo",COUNTIF(D29:D33,"Alerta")&gt;0),"Não recomendado sem avaliação adicional",IF(OR(D36="",D36="Não feito"),"Sem laudo cautelar: faça antes de decidir",IF(COUNTIF(D29:D33,"OK")&lt;5,"Consultas incompletas: termine antes de pagar","Sem restrições registradas"))))</f>
        <v/>
      </c>
      <c r="E51" s="35">
        <f>IF(E9="","",IF(OR(E36="Reprovado",E36="Inconclusivo",COUNTIF(E29:E33,"Alerta")&gt;0),"Não recomendado sem avaliação adicional",IF(OR(E36="",E36="Não feito"),"Sem laudo cautelar: faça antes de decidir",IF(COUNTIF(E29:E33,"OK")&lt;5,"Consultas incompletas: termine antes de pagar","Sem restrições registradas"))))</f>
        <v/>
      </c>
      <c r="F51" s="21" t="n"/>
      <c r="G51" s="22" t="inlineStr">
        <is>
          <t>Laudo Reprovado/Inconclusivo ou Alerta nas consultas = não recomendado sem avaliação adicional.</t>
        </is>
      </c>
    </row>
    <row r="52" ht="20" customHeight="1">
      <c r="A52" s="31" t="inlineStr">
        <is>
          <t>Pontuação que vale para o ranking</t>
        </is>
      </c>
      <c r="B52" s="34">
        <f>IF(B9="","",IF(B51="Não recomendado sem avaliação adicional","Fora",B50))</f>
        <v/>
      </c>
      <c r="C52" s="34">
        <f>IF(C9="","",IF(C51="Não recomendado sem avaliação adicional","Fora",C50))</f>
        <v/>
      </c>
      <c r="D52" s="34">
        <f>IF(D9="","",IF(D51="Não recomendado sem avaliação adicional","Fora",D50))</f>
        <v/>
      </c>
      <c r="E52" s="34">
        <f>IF(E9="","",IF(E51="Não recomendado sem avaliação adicional","Fora",E50))</f>
        <v/>
      </c>
      <c r="F52" s="21" t="n"/>
      <c r="G52" s="22" t="inlineStr">
        <is>
          <t>Carros com restrição ficam de fora da escolha.</t>
        </is>
      </c>
    </row>
    <row r="54" ht="26" customHeight="1">
      <c r="A54" s="36" t="inlineStr">
        <is>
          <t>MELHOR OPÇÃO PELOS SEUS CRITÉRIOS</t>
        </is>
      </c>
      <c r="B54" s="37">
        <f>IF(COUNT(B52:E52)=0,IF(COUNTA(B9:E9)=0,"Preencha os dados dos carros.","Nenhum carro sem restrição: busque avaliação adicional antes de decidir."),INDEX($B$4:$E$4,MATCH(MAX(B52:E52),B52:E52,0))&amp;IF(INDEX(B6:E6,MATCH(MAX(B52:E52),B52:E52,0))="",""," – "&amp;INDEX(B6:E6,MATCH(MAX(B52:E52),B52:E52,0)))&amp;"  ("&amp;FIXED(MAX(B52:E52),1)&amp;" de 10)")</f>
        <v/>
      </c>
    </row>
    <row r="55">
      <c r="A55" s="38" t="inlineStr">
        <is>
          <t>Situação da melhor opção</t>
        </is>
      </c>
      <c r="B55" s="39">
        <f>IF(COUNT(B52:E52)=0,"",INDEX(B51:E51,MATCH(MAX(B52:E52),B52:E52,0))&amp;IF(LEFT(INDEX(B24:E24,MATCH(MAX(B52:E52),B52:E52,0)),10)="Preço muit"," · Atenção: preço muito abaixo da referência.",""))</f>
        <v/>
      </c>
    </row>
    <row r="56" ht="30" customHeight="1">
      <c r="A56" s="40" t="inlineStr">
        <is>
          <t>Ressalva: a "melhor opção" resulta apenas dos dados e pesos que você informou. Carro com laudo Reprovado ou Inconclusivo, ou com Alerta em qualquer consulta, fica marcado "Não recomendado sem avaliação adicional" e não pode ser a melhor opção. Nenhuma pontuação substitui a vistoria cautelar profissional, a vistoria de transferência e a conferência de documentos.</t>
        </is>
      </c>
    </row>
    <row r="57" ht="30" customHeight="1"/>
    <row r="59" ht="20" customHeight="1">
      <c r="A59" s="18" t="inlineStr">
        <is>
          <t>PARÂMETROS (você pode mudar)</t>
        </is>
      </c>
      <c r="B59" s="19" t="n"/>
      <c r="C59" s="19" t="n"/>
      <c r="D59" s="19" t="n"/>
      <c r="E59" s="19" t="n"/>
      <c r="F59" s="19" t="n"/>
      <c r="G59" s="19" t="n"/>
    </row>
    <row r="60" ht="20" customHeight="1">
      <c r="A60" s="20" t="inlineStr">
        <is>
          <t>Ano de referência (para km por ano)</t>
        </is>
      </c>
      <c r="B60" s="41" t="n">
        <v>2026</v>
      </c>
      <c r="C60" s="22" t="inlineStr">
        <is>
          <t>Normalmente o ano atual.</t>
        </is>
      </c>
    </row>
    <row r="61" ht="20" customHeight="1">
      <c r="A61" s="20" t="inlineStr">
        <is>
          <t>Alerta quando o preço estiver abaixo da referência em</t>
        </is>
      </c>
      <c r="B61" s="42" t="n">
        <v>-0.15</v>
      </c>
      <c r="C61" s="22" t="inlineStr">
        <is>
          <t>Padrão −15%. Abaixo disso aparece o alerta de preço.</t>
        </is>
      </c>
    </row>
    <row r="62" ht="20" customHeight="1">
      <c r="A62" s="20" t="inlineStr">
        <is>
          <t>Aviso de preço acima da referência a partir de</t>
        </is>
      </c>
      <c r="B62" s="42" t="n">
        <v>0.1</v>
      </c>
      <c r="C62" s="22" t="inlineStr">
        <is>
          <t>Padrão +10%. Serve de argumento para negociar.</t>
        </is>
      </c>
    </row>
    <row r="63" ht="20" customHeight="1">
      <c r="A63" s="20" t="inlineStr">
        <is>
          <t>Reserva para imprevistos (% do preço)</t>
        </is>
      </c>
      <c r="B63" s="42" t="n">
        <v>0.1</v>
      </c>
      <c r="C63" s="22" t="inlineStr">
        <is>
          <t>Padrão 10%. Dinheiro separado para o que aparecer.</t>
        </is>
      </c>
    </row>
  </sheetData>
  <mergeCells count="9">
    <mergeCell ref="B54:G54"/>
    <mergeCell ref="A1:G1"/>
    <mergeCell ref="A56:G57"/>
    <mergeCell ref="C62:G62"/>
    <mergeCell ref="C60:G60"/>
    <mergeCell ref="C63:G63"/>
    <mergeCell ref="A2:G2"/>
    <mergeCell ref="C61:G61"/>
    <mergeCell ref="B55:G55"/>
  </mergeCells>
  <conditionalFormatting sqref="B29:E33">
    <cfRule type="cellIs" priority="1" operator="equal" dxfId="0">
      <formula>"OK"</formula>
    </cfRule>
    <cfRule type="cellIs" priority="2" operator="equal" dxfId="1">
      <formula>"Pendente"</formula>
    </cfRule>
    <cfRule type="cellIs" priority="3" operator="equal" dxfId="2">
      <formula>"Alerta"</formula>
    </cfRule>
  </conditionalFormatting>
  <conditionalFormatting sqref="B36:E36">
    <cfRule type="cellIs" priority="4" operator="equal" dxfId="0">
      <formula>"Aprovado"</formula>
    </cfRule>
    <cfRule type="cellIs" priority="5" operator="equal" dxfId="1">
      <formula>"Aprovado com apontamentos"</formula>
    </cfRule>
    <cfRule type="cellIs" priority="6" operator="equal" dxfId="2">
      <formula>"Reprovado"</formula>
    </cfRule>
    <cfRule type="cellIs" priority="7" operator="equal" dxfId="3">
      <formula>"Inconclusivo"</formula>
    </cfRule>
    <cfRule type="cellIs" priority="8" operator="equal" dxfId="4">
      <formula>"Não feito"</formula>
    </cfRule>
  </conditionalFormatting>
  <conditionalFormatting sqref="B24:E24">
    <cfRule type="expression" priority="9" dxfId="5">
      <formula>LEFT(B24,10)="Preço muit"</formula>
    </cfRule>
  </conditionalFormatting>
  <conditionalFormatting sqref="B23:E23">
    <cfRule type="expression" priority="10" dxfId="6">
      <formula>AND(ISNUMBER(B23),ROUND(B23,4)&lt;$B$61)</formula>
    </cfRule>
  </conditionalFormatting>
  <conditionalFormatting sqref="B34:E34">
    <cfRule type="expression" priority="11" dxfId="5">
      <formula>LEFT(B34,6)="ALERTA"</formula>
    </cfRule>
  </conditionalFormatting>
  <conditionalFormatting sqref="B51:E51">
    <cfRule type="expression" priority="12" dxfId="2">
      <formula>B51="Não recomendado sem avaliação adicional"</formula>
    </cfRule>
    <cfRule type="expression" priority="13" dxfId="7">
      <formula>B51="Sem restrições registradas"</formula>
    </cfRule>
  </conditionalFormatting>
  <dataValidations count="26">
    <dataValidation sqref="B8:E8" showDropDown="0" showInputMessage="0" showErrorMessage="1" allowBlank="1" errorTitle="Valor inválido" error="Escolha um valor da lista." type="list">
      <formula1>"Particular,Loja"</formula1>
    </dataValidation>
    <dataValidation sqref="B18:E18" showDropDown="0" showInputMessage="0" showErrorMessage="1" allowBlank="1" errorTitle="Valor inválido" error="Escolha um valor da lista." type="list">
      <formula1>"Manual,Automático,Automatizado,CVT,Outro"</formula1>
    </dataValidation>
    <dataValidation sqref="B19:E19" showDropDown="0" showInputMessage="0" showErrorMessage="1" allowBlank="1" errorTitle="Valor inválido" error="Escolha um valor da lista." type="list">
      <formula1>"Flex,Gasolina,Etanol,Diesel,Híbrido,Elétrico,GNV"</formula1>
    </dataValidation>
    <dataValidation sqref="B27:E27" showDropDown="0" showInputMessage="0" showErrorMessage="1" allowBlank="1" errorTitle="Valor inválido" error="Escolha um valor da lista." type="list">
      <formula1>"S,N"</formula1>
    </dataValidation>
    <dataValidation sqref="B29:E29" showDropDown="0" showInputMessage="0" showErrorMessage="1" allowBlank="1" errorTitle="Valor inválido" error="Escolha um valor da lista." type="list">
      <formula1>"OK,Pendente,Alerta"</formula1>
    </dataValidation>
    <dataValidation sqref="B30:E30" showDropDown="0" showInputMessage="0" showErrorMessage="1" allowBlank="1" errorTitle="Valor inválido" error="Escolha um valor da lista." type="list">
      <formula1>"OK,Pendente,Alerta"</formula1>
    </dataValidation>
    <dataValidation sqref="B31:E31" showDropDown="0" showInputMessage="0" showErrorMessage="1" allowBlank="1" errorTitle="Valor inválido" error="Escolha um valor da lista." type="list">
      <formula1>"OK,Pendente,Alerta"</formula1>
    </dataValidation>
    <dataValidation sqref="B32:E32" showDropDown="0" showInputMessage="0" showErrorMessage="1" allowBlank="1" errorTitle="Valor inválido" error="Escolha um valor da lista." type="list">
      <formula1>"OK,Pendente,Alerta"</formula1>
    </dataValidation>
    <dataValidation sqref="B33:E33" showDropDown="0" showInputMessage="0" showErrorMessage="1" allowBlank="1" errorTitle="Valor inválido" error="Escolha um valor da lista." type="list">
      <formula1>"OK,Pendente,Alerta"</formula1>
    </dataValidation>
    <dataValidation sqref="B36:E36" showDropDown="0" showInputMessage="0" showErrorMessage="1" allowBlank="1" errorTitle="Valor inválido" error="Escolha um valor da lista." type="list">
      <formula1>"Aprovado,Aprovado com apontamentos,Reprovado,Inconclusivo,Não feito"</formula1>
    </dataValidation>
    <dataValidation sqref="B49:E49" showDropDown="0" showInputMessage="0" showErrorMessage="1" allowBlank="1" errorTitle="Valor inválido" error="Nota de 0 a 10." type="decimal" operator="between">
      <formula1>0</formula1>
      <formula2>10</formula2>
    </dataValidation>
    <dataValidation sqref="B9:E9" showDropDown="0" showInputMessage="0" showErrorMessage="1" allowBlank="1" errorTitle="Valor inválido" error="Digite um número válido." type="decimal" operator="greaterThanOrEqual">
      <formula1>0</formula1>
    </dataValidation>
    <dataValidation sqref="B10:E10" showDropDown="0" showInputMessage="0" showErrorMessage="1" allowBlank="1" errorTitle="Valor inválido" error="Digite um número válido." type="decimal" operator="greaterThanOrEqual">
      <formula1>0</formula1>
    </dataValidation>
    <dataValidation sqref="B22:E22" showDropDown="0" showInputMessage="0" showErrorMessage="1" allowBlank="1" errorTitle="Valor inválido" error="Digite um número válido." type="decimal" operator="greaterThanOrEqual">
      <formula1>0</formula1>
    </dataValidation>
    <dataValidation sqref="B37:E37" showDropDown="0" showInputMessage="0" showErrorMessage="1" allowBlank="1" errorTitle="Valor inválido" error="Digite um número válido." type="decimal" operator="greaterThanOrEqual">
      <formula1>0</formula1>
    </dataValidation>
    <dataValidation sqref="B39:E39" showDropDown="0" showInputMessage="0" showErrorMessage="1" allowBlank="1" errorTitle="Valor inválido" error="Digite um número válido." type="decimal" operator="greaterThanOrEqual">
      <formula1>0</formula1>
    </dataValidation>
    <dataValidation sqref="B41:E41" showDropDown="0" showInputMessage="0" showErrorMessage="1" allowBlank="1" errorTitle="Valor inválido" error="Digite um número válido." type="decimal" operator="greaterThanOrEqual">
      <formula1>0</formula1>
    </dataValidation>
    <dataValidation sqref="B15:E15" showDropDown="0" showInputMessage="0" showErrorMessage="1" allowBlank="1" errorTitle="Valor inválido" error="Digite um número válido." type="decimal" operator="greaterThanOrEqual">
      <formula1>0</formula1>
    </dataValidation>
    <dataValidation sqref="B13:E13" showDropDown="0" showInputMessage="0" showErrorMessage="1" allowBlank="1" errorTitle="Valor inválido" error="Ano com 4 dígitos (ex.: 2020)." type="whole" operator="between">
      <formula1>1950</formula1>
      <formula2>2100</formula2>
    </dataValidation>
    <dataValidation sqref="B14:E14" showDropDown="0" showInputMessage="0" showErrorMessage="1" allowBlank="1" errorTitle="Valor inválido" error="Ano com 4 dígitos (ex.: 2020)." type="whole" operator="between">
      <formula1>1950</formula1>
      <formula2>2100</formula2>
    </dataValidation>
    <dataValidation sqref="B26:E26" showDropDown="0" showInputMessage="0" showErrorMessage="1" allowBlank="1" errorTitle="Valor inválido" error="Número inteiro (1 = único dono)." type="whole" operator="between">
      <formula1>1</formula1>
      <formula2>99</formula2>
    </dataValidation>
    <dataValidation sqref="F44:F49" showDropDown="0" showInputMessage="0" showErrorMessage="1" allowBlank="1" errorTitle="Valor inválido" error="Peso de 0 a 100." type="decimal" operator="between">
      <formula1>0</formula1>
      <formula2>100</formula2>
    </dataValidation>
    <dataValidation sqref="B60" showDropDown="0" showInputMessage="0" showErrorMessage="1" allowBlank="1" errorTitle="Valor inválido" error="Digite um número válido." type="whole" operator="between">
      <formula1>1990</formula1>
      <formula2>2100</formula2>
    </dataValidation>
    <dataValidation sqref="B61" showDropDown="0" showInputMessage="0" showErrorMessage="1" allowBlank="1" errorTitle="Valor inválido" error="Digite um percentual negativo, por exemplo −15%." type="decimal" operator="between">
      <formula1>-1</formula1>
      <formula2>0</formula2>
    </dataValidation>
    <dataValidation sqref="B62" showDropDown="0" showInputMessage="0" showErrorMessage="1" allowBlank="1" errorTitle="Valor inválido" error="Digite um percentual, por exemplo 10%." type="decimal" operator="between">
      <formula1>0</formula1>
      <formula2>1</formula2>
    </dataValidation>
    <dataValidation sqref="B63" showDropDown="0" showInputMessage="0" showErrorMessage="1" allowBlank="1" errorTitle="Valor inválido" error="Digite um percentual, por exemplo 10%." type="decimal" operator="between">
      <formula1>0</formula1>
      <formula2>1</formula2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&amp;L&amp;8 Antes de Fechar Negócio&amp;R&amp;8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2" customWidth="1" min="3" max="3"/>
    <col width="16" customWidth="1" min="4" max="4"/>
    <col width="34" customWidth="1" min="5" max="5"/>
  </cols>
  <sheetData>
    <row r="1" ht="28" customHeight="1">
      <c r="A1" s="15" t="inlineStr">
        <is>
          <t>ANTES DE FECHAR NEGÓCIO  |  ANÚNCIO x REALIDADE</t>
        </is>
      </c>
      <c r="B1" s="1" t="n"/>
      <c r="C1" s="1" t="n"/>
      <c r="D1" s="1" t="n"/>
      <c r="E1" s="1" t="n"/>
    </row>
    <row r="2" ht="32" customHeight="1">
      <c r="A2" s="16" t="inlineStr">
        <is>
          <t>Anote o que o anúncio (ou o vendedor) afirma e, ao lado, o que você viu ou conferiu. Para outro carro, duplique esta aba (botão direito na guia &gt; Mover ou copiar &gt; Criar uma cópia).</t>
        </is>
      </c>
    </row>
    <row r="4">
      <c r="A4" s="38" t="inlineStr">
        <is>
          <t>Carro analisado</t>
        </is>
      </c>
      <c r="B4" s="43" t="inlineStr">
        <is>
          <t>Carro 1 – Hatch A 1.0 Flex – placa ABC1D23</t>
        </is>
      </c>
    </row>
    <row r="5">
      <c r="A5" s="38" t="inlineStr">
        <is>
          <t>Link / data do anúncio</t>
        </is>
      </c>
      <c r="B5" s="43" t="inlineStr">
        <is>
          <t>(cole o link) – 10/09/2026</t>
        </is>
      </c>
    </row>
    <row r="7" ht="30" customHeight="1">
      <c r="A7" s="17" t="inlineStr">
        <is>
          <t>O que conferir</t>
        </is>
      </c>
      <c r="B7" s="17" t="inlineStr">
        <is>
          <t>O anúncio diz</t>
        </is>
      </c>
      <c r="C7" s="17" t="inlineStr">
        <is>
          <t>O que eu vi / conferi</t>
        </is>
      </c>
      <c r="D7" s="17" t="inlineStr">
        <is>
          <t>Situação</t>
        </is>
      </c>
      <c r="E7" s="17" t="inlineStr">
        <is>
          <t>Observação</t>
        </is>
      </c>
    </row>
    <row r="8" ht="30" customHeight="1">
      <c r="A8" s="44" t="inlineStr">
        <is>
          <t>Preço</t>
        </is>
      </c>
      <c r="B8" s="45" t="inlineStr">
        <is>
          <t>R$ 58.900</t>
        </is>
      </c>
      <c r="C8" s="45" t="inlineStr">
        <is>
          <t>R$ 58.900 (negociado R$ 56.500)</t>
        </is>
      </c>
      <c r="D8" s="9" t="inlineStr">
        <is>
          <t>Confere</t>
        </is>
      </c>
      <c r="E8" s="45" t="n"/>
    </row>
    <row r="9" ht="30" customHeight="1">
      <c r="A9" s="44" t="inlineStr">
        <is>
          <t>Ano de fabricação / modelo</t>
        </is>
      </c>
      <c r="B9" s="45" t="inlineStr">
        <is>
          <t>2020/2021</t>
        </is>
      </c>
      <c r="C9" s="45" t="inlineStr">
        <is>
          <t>2020/2021 no documento</t>
        </is>
      </c>
      <c r="D9" s="9" t="inlineStr">
        <is>
          <t>Confere</t>
        </is>
      </c>
      <c r="E9" s="45" t="n"/>
    </row>
    <row r="10" ht="30" customHeight="1">
      <c r="A10" s="44" t="inlineStr">
        <is>
          <t>Quilometragem</t>
        </is>
      </c>
      <c r="B10" s="45" t="inlineStr">
        <is>
          <t>55.000 km</t>
        </is>
      </c>
      <c r="C10" s="45" t="inlineStr">
        <is>
          <t>62.000 km no painel</t>
        </is>
      </c>
      <c r="D10" s="9" t="inlineStr">
        <is>
          <t>Diverge</t>
        </is>
      </c>
      <c r="E10" s="45" t="inlineStr">
        <is>
          <t>Perguntar o motivo da diferença</t>
        </is>
      </c>
    </row>
    <row r="11" ht="30" customHeight="1">
      <c r="A11" s="44" t="inlineStr">
        <is>
          <t>Único dono</t>
        </is>
      </c>
      <c r="B11" s="45" t="inlineStr">
        <is>
          <t>Sim</t>
        </is>
      </c>
      <c r="C11" s="45" t="inlineStr">
        <is>
          <t>Vendedor não é o dono do documento</t>
        </is>
      </c>
      <c r="D11" s="9" t="inlineStr">
        <is>
          <t>Diverge</t>
        </is>
      </c>
      <c r="E11" s="45" t="inlineStr">
        <is>
          <t>Só pagar ao titular do documento</t>
        </is>
      </c>
    </row>
    <row r="12" ht="30" customHeight="1">
      <c r="A12" s="44" t="inlineStr">
        <is>
          <t>Revisões em dia</t>
        </is>
      </c>
      <c r="B12" s="45" t="inlineStr">
        <is>
          <t>Todas feitas</t>
        </is>
      </c>
      <c r="C12" s="45" t="inlineStr">
        <is>
          <t>Notas fiscais de 3 revisões</t>
        </is>
      </c>
      <c r="D12" s="9" t="inlineStr">
        <is>
          <t>Confere</t>
        </is>
      </c>
      <c r="E12" s="45" t="n"/>
    </row>
    <row r="13" ht="30" customHeight="1">
      <c r="A13" s="44" t="inlineStr">
        <is>
          <t>Sem batidas / nunca bateu</t>
        </is>
      </c>
      <c r="B13" s="45" t="inlineStr">
        <is>
          <t>Nunca bateu</t>
        </is>
      </c>
      <c r="C13" s="45" t="n"/>
      <c r="D13" s="9" t="inlineStr">
        <is>
          <t>Não informado</t>
        </is>
      </c>
      <c r="E13" s="45" t="inlineStr">
        <is>
          <t>Laudo cautelar vai responder</t>
        </is>
      </c>
    </row>
    <row r="14" ht="30" customHeight="1">
      <c r="A14" s="44" t="inlineStr">
        <is>
          <t>Pneus</t>
        </is>
      </c>
      <c r="B14" s="45" t="inlineStr">
        <is>
          <t>Novos</t>
        </is>
      </c>
      <c r="C14" s="45" t="inlineStr">
        <is>
          <t>Meia-vida</t>
        </is>
      </c>
      <c r="D14" s="9" t="inlineStr">
        <is>
          <t>Diverge</t>
        </is>
      </c>
      <c r="E14" s="45" t="inlineStr">
        <is>
          <t>Argumento para negociar</t>
        </is>
      </c>
    </row>
    <row r="15" ht="30" customHeight="1">
      <c r="A15" s="44" t="inlineStr">
        <is>
          <t>Chave reserva e manual</t>
        </is>
      </c>
      <c r="B15" s="45" t="n"/>
      <c r="C15" s="45" t="n"/>
      <c r="D15" s="9" t="n"/>
      <c r="E15" s="45" t="n"/>
    </row>
    <row r="16" ht="30" customHeight="1">
      <c r="A16" s="44" t="inlineStr">
        <is>
          <t>Documentação e débitos em dia</t>
        </is>
      </c>
      <c r="B16" s="45" t="n"/>
      <c r="C16" s="45" t="n"/>
      <c r="D16" s="9" t="n"/>
      <c r="E16" s="45" t="n"/>
    </row>
    <row r="17" ht="30" customHeight="1">
      <c r="A17" s="44" t="inlineStr">
        <is>
          <t>Câmbio / motor / ar-condicionado</t>
        </is>
      </c>
      <c r="B17" s="45" t="n"/>
      <c r="C17" s="45" t="n"/>
      <c r="D17" s="9" t="n"/>
      <c r="E17" s="45" t="n"/>
    </row>
    <row r="18" ht="30" customHeight="1">
      <c r="A18" s="44" t="inlineStr">
        <is>
          <t>Opcionais (multimídia, sensores...)</t>
        </is>
      </c>
      <c r="B18" s="45" t="n"/>
      <c r="C18" s="45" t="n"/>
      <c r="D18" s="9" t="n"/>
      <c r="E18" s="45" t="n"/>
    </row>
    <row r="19" ht="30" customHeight="1">
      <c r="A19" s="44" t="inlineStr">
        <is>
          <t>Fotos batem com o carro visto</t>
        </is>
      </c>
      <c r="B19" s="45" t="n"/>
      <c r="C19" s="45" t="n"/>
      <c r="D19" s="9" t="n"/>
      <c r="E19" s="45" t="n"/>
    </row>
    <row r="20" ht="30" customHeight="1">
      <c r="A20" s="44" t="n"/>
      <c r="B20" s="45" t="n"/>
      <c r="C20" s="45" t="n"/>
      <c r="D20" s="9" t="n"/>
      <c r="E20" s="45" t="n"/>
    </row>
    <row r="21" ht="30" customHeight="1">
      <c r="A21" s="44" t="n"/>
      <c r="B21" s="45" t="n"/>
      <c r="C21" s="45" t="n"/>
      <c r="D21" s="9" t="n"/>
      <c r="E21" s="45" t="n"/>
    </row>
    <row r="23" ht="22" customHeight="1">
      <c r="A23" s="17" t="inlineStr">
        <is>
          <t>Resumo</t>
        </is>
      </c>
      <c r="B23" s="17" t="inlineStr">
        <is>
          <t>Quantidade</t>
        </is>
      </c>
    </row>
    <row r="24">
      <c r="A24" s="20" t="inlineStr">
        <is>
          <t>Confere</t>
        </is>
      </c>
      <c r="B24" s="35">
        <f>COUNTIF($D$8:$D$21,"Confere")</f>
        <v/>
      </c>
    </row>
    <row r="25">
      <c r="A25" s="20" t="inlineStr">
        <is>
          <t>Diverge</t>
        </is>
      </c>
      <c r="B25" s="35">
        <f>COUNTIF($D$8:$D$21,"Diverge")</f>
        <v/>
      </c>
    </row>
    <row r="26">
      <c r="A26" s="20" t="inlineStr">
        <is>
          <t>Não informado</t>
        </is>
      </c>
      <c r="B26" s="35">
        <f>COUNTIF($D$8:$D$21,"Não informado")</f>
        <v/>
      </c>
    </row>
    <row r="27">
      <c r="A27" s="20" t="inlineStr">
        <is>
          <t>Itens avaliados</t>
        </is>
      </c>
      <c r="B27" s="35">
        <f>SUM(B24:B26)</f>
        <v/>
      </c>
    </row>
    <row r="28" ht="34" customHeight="1">
      <c r="A28" s="31" t="inlineStr">
        <is>
          <t>Conclusão</t>
        </is>
      </c>
      <c r="B28" s="46">
        <f>IF(B27=0,"Preencha a coluna Situação.",IF(B25&gt;0,B25&amp;" divergência(s) entre o anúncio e o carro. Peça explicação por escrito, renegocie ou desista.",IF(B26&gt;0,"Sem divergências, mas "&amp;B26&amp;" item(ns) sem informação: confira antes de pagar.","O que foi anunciado confere com o que você viu.")))</f>
        <v/>
      </c>
    </row>
    <row r="30" ht="22" customHeight="1">
      <c r="A30" s="40" t="inlineStr">
        <is>
          <t>Dica: tire print do anúncio antes da visita. Anúncios podem ser editados ou apagados depois.</t>
        </is>
      </c>
    </row>
  </sheetData>
  <mergeCells count="6">
    <mergeCell ref="A30:E30"/>
    <mergeCell ref="A2:E2"/>
    <mergeCell ref="B5:C5"/>
    <mergeCell ref="A1:E1"/>
    <mergeCell ref="B28:E28"/>
    <mergeCell ref="B4:C4"/>
  </mergeCells>
  <conditionalFormatting sqref="D8:D21">
    <cfRule type="cellIs" priority="1" operator="equal" dxfId="0">
      <formula>"Confere"</formula>
    </cfRule>
    <cfRule type="cellIs" priority="2" operator="equal" dxfId="2">
      <formula>"Diverge"</formula>
    </cfRule>
    <cfRule type="cellIs" priority="3" operator="equal" dxfId="4">
      <formula>"Não informado"</formula>
    </cfRule>
  </conditionalFormatting>
  <conditionalFormatting sqref="B28">
    <cfRule type="expression" priority="4" dxfId="5">
      <formula>$B$25&gt;0</formula>
    </cfRule>
  </conditionalFormatting>
  <dataValidations count="1">
    <dataValidation sqref="D8:D21" showDropDown="0" showInputMessage="0" showErrorMessage="1" allowBlank="1" errorTitle="Valor inválido" error="Escolha um valor da lista." type="list">
      <formula1>"Confere,Diverge,Não informado"</formula1>
    </dataValidation>
  </dataValidations>
  <printOptions horizontalCentered="1"/>
  <pageMargins left="0.4" right="0.4" top="0.5" bottom="0.5" header="0.5" footer="0.5"/>
  <pageSetup orientation="portrait" paperSize="9" fitToHeight="0" fitToWidth="1"/>
  <headerFooter>
    <oddHeader/>
    <oddFooter>&amp;L&amp;8 Antes de Fechar Negócio&amp;R&amp;8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2026-09-30T21:41:31Z</dcterms:created>
  <dcterms:modified xmlns:dcterms="http://purl.org/dc/terms/" xmlns:xsi="http://www.w3.org/2001/XMLSchema-instance" xsi:type="dcterms:W3CDTF">2026-09-30T21:41:31Z</dcterms:modified>
</cp:coreProperties>
</file>