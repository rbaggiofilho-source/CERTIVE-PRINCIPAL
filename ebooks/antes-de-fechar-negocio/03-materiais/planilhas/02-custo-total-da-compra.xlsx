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Custo total" sheetId="2" state="visible" r:id="rId2"/>
    <sheet xmlns:r="http://schemas.openxmlformats.org/officeDocument/2006/relationships" name="Orçamento mensal" sheetId="3" state="visible" r:id="rId3"/>
  </sheets>
  <definedNames>
    <definedName name="_xlnm.Print_Area" localSheetId="0">'Capa'!$A$1:$F$28</definedName>
    <definedName name="_xlnm.Print_Titles" localSheetId="1">'Custo total'!$4:$4</definedName>
    <definedName name="_xlnm.Print_Area" localSheetId="1">'Custo total'!$A$1:$D$57</definedName>
    <definedName name="_xlnm.Print_Titles" localSheetId="2">'Orçamento mensal'!$4:$4</definedName>
    <definedName name="_xlnm.Print_Area" localSheetId="2">'Orçamento mensal'!$A$1:$C$22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-R$ #,##0.00;&quot;-&quot;"/>
    <numFmt numFmtId="165" formatCode="0.0%;-0.0%;&quot;0,0%&quot;"/>
    <numFmt numFmtId="166" formatCode="0.0%"/>
    <numFmt numFmtId="167" formatCode="0.0"/>
  </numFmts>
  <fonts count="22">
    <font>
      <name val="Calibri"/>
      <family val="2"/>
      <color theme="1"/>
      <sz val="11"/>
      <scheme val="minor"/>
    </font>
    <font>
      <name val="Calibri"/>
      <b val="1"/>
      <color rgb="00F2A900"/>
      <sz val="22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C62828"/>
      <sz val="11"/>
    </font>
    <font>
      <name val="Calibri"/>
      <i val="1"/>
      <color rgb="004E5864"/>
      <sz val="9.5"/>
    </font>
    <font>
      <name val="Calibri"/>
      <i val="1"/>
      <color rgb="007A8591"/>
      <sz val="8.5"/>
    </font>
    <font>
      <name val="Calibri"/>
      <b val="1"/>
      <color rgb="00F2A900"/>
      <sz val="14"/>
    </font>
    <font>
      <name val="Calibri"/>
      <b val="1"/>
      <color rgb="00FFFFFF"/>
      <sz val="11"/>
    </font>
    <font>
      <name val="Calibri"/>
      <color rgb="001A1F26"/>
      <sz val="10.5"/>
    </font>
    <font>
      <name val="Calibri"/>
      <i val="1"/>
      <color rgb="004E5864"/>
      <sz val="8.5"/>
    </font>
    <font>
      <name val="Calibri"/>
      <b val="1"/>
      <i val="1"/>
      <color rgb="00B87F00"/>
      <sz val="8.5"/>
    </font>
    <font>
      <name val="Calibri"/>
      <b val="1"/>
      <color rgb="001A1F26"/>
      <sz val="10.5"/>
    </font>
    <font>
      <name val="Calibri"/>
      <b val="1"/>
      <color rgb="00000000"/>
      <sz val="11"/>
    </font>
    <font>
      <name val="Calibri"/>
      <b val="1"/>
      <color rgb="000F1318"/>
      <sz val="12"/>
    </font>
    <font>
      <name val="Calibri"/>
      <b val="1"/>
      <color rgb="00B87F00"/>
      <sz val="10.5"/>
    </font>
    <font>
      <name val="Calibri"/>
      <i val="1"/>
      <color rgb="001A1F26"/>
      <sz val="9.5"/>
    </font>
    <font>
      <name val="Calibr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EEF3FF"/>
        <bgColor rgb="00EEF3FF"/>
      </patternFill>
    </fill>
    <fill>
      <patternFill patternType="solid">
        <fgColor rgb="00FDECEA"/>
        <bgColor rgb="00FDECEA"/>
      </patternFill>
    </fill>
    <fill>
      <patternFill patternType="solid">
        <fgColor rgb="00FFF4D6"/>
        <bgColor rgb="00FFF4D6"/>
      </patternFill>
    </fill>
  </fills>
  <borders count="6">
    <border>
      <left/>
      <right/>
      <top/>
      <bottom/>
      <diagonal/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top style="thin">
        <color rgb="00F2A900"/>
      </top>
      <bottom style="thin">
        <color rgb="00F2A900"/>
      </bottom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 style="thin">
        <color rgb="00DDE1E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2" borderId="0" pivotButton="0" quotePrefix="0" xfId="0"/>
    <xf numFmtId="4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11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/>
    </xf>
    <xf numFmtId="0" fontId="0" fillId="7" borderId="2" pivotButton="0" quotePrefix="0" xfId="0"/>
    <xf numFmtId="0" fontId="13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1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6" fillId="7" borderId="1" applyAlignment="1" pivotButton="0" quotePrefix="0" xfId="0">
      <alignment horizontal="left" vertical="center" wrapText="1"/>
    </xf>
    <xf numFmtId="164" fontId="17" fillId="0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0" fontId="16" fillId="4" borderId="1" applyAlignment="1" pivotButton="0" quotePrefix="0" xfId="0">
      <alignment horizontal="left" vertical="center" wrapText="1"/>
    </xf>
    <xf numFmtId="164" fontId="18" fillId="7" borderId="1" applyAlignment="1" pivotButton="0" quotePrefix="0" xfId="0">
      <alignment horizontal="right" vertical="center"/>
    </xf>
    <xf numFmtId="0" fontId="20" fillId="7" borderId="0" applyAlignment="1" pivotButton="0" quotePrefix="0" xfId="0">
      <alignment vertical="center" wrapText="1" indent="1"/>
    </xf>
    <xf numFmtId="0" fontId="16" fillId="0" borderId="1" applyAlignment="1" pivotButton="0" quotePrefix="0" xfId="0">
      <alignment horizontal="left" vertical="center" wrapText="1"/>
    </xf>
    <xf numFmtId="164" fontId="21" fillId="5" borderId="1" applyAlignment="1" pivotButton="0" quotePrefix="0" xfId="0">
      <alignment horizontal="right" vertical="center"/>
    </xf>
    <xf numFmtId="165" fontId="21" fillId="5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dxfs count="4">
    <dxf>
      <font>
        <name val="Calibri"/>
        <b val="1"/>
        <color rgb="00B87F00"/>
      </font>
      <fill>
        <patternFill patternType="solid">
          <fgColor rgb="00FFF4D6"/>
          <bgColor rgb="00FFF4D6"/>
        </patternFill>
      </fill>
    </dxf>
    <dxf>
      <font>
        <name val="Calibri"/>
        <b val="1"/>
        <color rgb="00C62828"/>
      </font>
      <fill>
        <patternFill patternType="solid">
          <fgColor rgb="00FDECEA"/>
          <bgColor rgb="00FDECEA"/>
        </patternFill>
      </fill>
    </dxf>
    <dxf>
      <font>
        <name val="Calibri"/>
        <b val="1"/>
        <color rgb="002E9E5B"/>
      </font>
      <fill>
        <patternFill patternType="solid">
          <fgColor rgb="00E8F5EC"/>
          <bgColor rgb="00E8F5EC"/>
        </patternFill>
      </fill>
    </dxf>
    <dxf>
      <font>
        <name val="Calibri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Antes de Fechar Negócio</author>
  </authors>
  <commentList>
    <comment ref="A37" authorId="0" shapeId="0">
      <text>
        <t>Parcela = PMT(taxa; nº de parcelas; −valor financiado) — sistema de parcelas iguais (Price). Com taxa 0%, parcela = valor financiado ÷ nº de parcelas.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4" customHeight="1">
      <c r="A2" s="1" t="n"/>
      <c r="B2" s="2" t="inlineStr">
        <is>
          <t>ANTES DE FECHAR NEGÓCIO</t>
        </is>
      </c>
      <c r="F2" s="1" t="n"/>
    </row>
    <row r="3">
      <c r="A3" s="1" t="n"/>
      <c r="B3" s="3" t="inlineStr">
        <is>
          <t>O guia do vistoriador para quem vai comprar carro usado  ·  Protocolo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Custo total da compra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7" t="inlineStr">
        <is>
          <t>COMO USAR (passo a passo)</t>
        </is>
      </c>
      <c r="C10" s="6" t="n"/>
      <c r="D10" s="6" t="n"/>
      <c r="E10" s="6" t="n"/>
      <c r="F10" s="6" t="n"/>
    </row>
    <row r="11" ht="32" customHeight="1">
      <c r="A11" s="6" t="n"/>
      <c r="B11" s="8" t="inlineStr">
        <is>
          <t>1. Abra a aba Custo total e preencha as células AZUIS, de cima para baixo. As pretas se calculam sozinhas.</t>
        </is>
      </c>
      <c r="F11" s="6" t="n"/>
    </row>
    <row r="12" ht="32" customHeight="1">
      <c r="A12" s="6" t="n"/>
      <c r="B12" s="8" t="inlineStr">
        <is>
          <t>2. Taxas de transferência e licenciamento mudam de estado para estado: consulte o órgão de trânsito do seu estado e digite os valores.</t>
        </is>
      </c>
      <c r="F12" s="6" t="n"/>
    </row>
    <row r="13" ht="32" customHeight="1">
      <c r="A13" s="6" t="n"/>
      <c r="B13" s="8" t="inlineStr">
        <is>
          <t>3. Nos débitos do carro, marque quem vai pagar (vendedor ou comprador). Só entra na sua conta o que for do comprador.</t>
        </is>
      </c>
      <c r="F13" s="6" t="n"/>
    </row>
    <row r="14" ht="32" customHeight="1">
      <c r="A14" s="6" t="n"/>
      <c r="B14" s="8" t="inlineStr">
        <is>
          <t>4. Se for financiar, informe entrada, número de parcelas e taxa de juros ao mês: a planilha calcula parcela, total pago e juros.</t>
        </is>
      </c>
      <c r="F14" s="6" t="n"/>
    </row>
    <row r="15" ht="18" customHeight="1">
      <c r="A15" s="6" t="n"/>
      <c r="B15" s="8" t="inlineStr">
        <is>
          <t>5. No resumo você vê o dinheiro necessário no dia da compra e o custo total no 1º ano.</t>
        </is>
      </c>
      <c r="F15" s="6" t="n"/>
    </row>
    <row r="16" ht="32" customHeight="1">
      <c r="A16" s="6" t="n"/>
      <c r="B16" s="8" t="inlineStr">
        <is>
          <t>6. Na aba Orçamento mensal, compare quanto o carro vai custar por mês com a sua renda disponível.</t>
        </is>
      </c>
      <c r="F16" s="6" t="n"/>
    </row>
    <row r="17" ht="18" customHeight="1">
      <c r="A17" s="6" t="n"/>
      <c r="B17" s="8" t="inlineStr">
        <is>
          <t>7. Apague os exemplos (células azuis) antes de usar com os seus números.</t>
        </is>
      </c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7" t="inlineStr">
        <is>
          <t>LEGENDA DE CORES</t>
        </is>
      </c>
      <c r="C19" s="6" t="n"/>
      <c r="D19" s="6" t="n"/>
      <c r="E19" s="6" t="n"/>
      <c r="F19" s="6" t="n"/>
    </row>
    <row r="20">
      <c r="A20" s="6" t="n"/>
      <c r="B20" s="9" t="inlineStr">
        <is>
          <t>58.900,00</t>
        </is>
      </c>
      <c r="C20" s="10" t="inlineStr">
        <is>
          <t>AZUL (fundo azul-claro) = você PREENCHE: digite ou escolha na lista.</t>
        </is>
      </c>
      <c r="F20" s="6" t="n"/>
    </row>
    <row r="21">
      <c r="A21" s="6" t="n"/>
      <c r="B21" s="11">
        <f>2*617</f>
        <v/>
      </c>
      <c r="C21" s="10" t="inlineStr">
        <is>
          <t>PRETO = CALCULADO automaticamente. Não digite por cima.</t>
        </is>
      </c>
      <c r="F21" s="6" t="n"/>
    </row>
    <row r="22">
      <c r="A22" s="6" t="n"/>
      <c r="B22" s="12" t="inlineStr">
        <is>
          <t>Alerta</t>
        </is>
      </c>
      <c r="C22" s="10" t="inlineStr">
        <is>
          <t>VERMELHO = sinal de alerta: pare, confira e, se preciso, chame um profissional.</t>
        </is>
      </c>
      <c r="F22" s="6" t="n"/>
    </row>
    <row r="23">
      <c r="A23" s="6" t="n"/>
      <c r="B23" s="6" t="n"/>
      <c r="C23" s="6" t="n"/>
      <c r="D23" s="6" t="n"/>
      <c r="E23" s="6" t="n"/>
      <c r="F23" s="6" t="n"/>
    </row>
    <row r="24" ht="30" customHeight="1">
      <c r="A24" s="6" t="n"/>
      <c r="B24" s="13" t="inlineStr">
        <is>
          <t>O preço é só uma parte: transferência, débitos, seguro, revisão, reparos, IPVA e combustível entram na conta.</t>
        </is>
      </c>
      <c r="F24" s="6" t="n"/>
    </row>
    <row r="25" ht="30" customHeight="1">
      <c r="A25" s="6" t="n"/>
      <c r="B25" s="13" t="inlineStr">
        <is>
          <t>Os percentuais (reserva, alíquota de IPVA, limite do orçamento) são editáveis. Nada aqui é conselho financeiro.</t>
        </is>
      </c>
      <c r="F25" s="6" t="n"/>
    </row>
    <row r="26">
      <c r="A26" s="6" t="n"/>
      <c r="B26" s="6" t="n"/>
      <c r="C26" s="6" t="n"/>
      <c r="D26" s="6" t="n"/>
      <c r="E26" s="6" t="n"/>
      <c r="F26" s="6" t="n"/>
    </row>
    <row r="27" ht="36" customHeight="1">
      <c r="A27" s="6" t="n"/>
      <c r="B27" s="14" t="inlineStr">
        <is>
          <t>Valores de exemplo fictícios. Esta planilha organiza informações para a SUA decisão: não é recomendação de compra nem conselho financeiro e não substitui a vistoria cautelar profissional, a vistoria oficial do órgão de trânsito nem a orientação de um advogado.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</sheetData>
  <mergeCells count="16">
    <mergeCell ref="B17:E17"/>
    <mergeCell ref="B27:E27"/>
    <mergeCell ref="B12:E12"/>
    <mergeCell ref="B13:E13"/>
    <mergeCell ref="C22:E22"/>
    <mergeCell ref="B16:E16"/>
    <mergeCell ref="B15:E15"/>
    <mergeCell ref="B11:E11"/>
    <mergeCell ref="B25:E25"/>
    <mergeCell ref="B3:E3"/>
    <mergeCell ref="B2:E2"/>
    <mergeCell ref="B24:E24"/>
    <mergeCell ref="C21:E21"/>
    <mergeCell ref="B5:E6"/>
    <mergeCell ref="C20:E20"/>
    <mergeCell ref="B14:E1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Antes de Fechar Negócio&amp;R&amp;8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15" customWidth="1" min="3" max="3"/>
    <col width="62" customWidth="1" min="4" max="4"/>
  </cols>
  <sheetData>
    <row r="1" ht="28" customHeight="1">
      <c r="A1" s="15" t="inlineStr">
        <is>
          <t>ANTES DE FECHAR NEGÓCIO  |  CUSTO TOTAL DA COMPRA</t>
        </is>
      </c>
      <c r="B1" s="1" t="n"/>
      <c r="C1" s="1" t="n"/>
      <c r="D1" s="1" t="n"/>
    </row>
    <row r="2" ht="32" customHeight="1">
      <c r="A2" s="16" t="inlineStr">
        <is>
          <t>Preencha as células azuis. Valores de transferência ficam em branco de propósito: cada estado cobra valores diferentes.</t>
        </is>
      </c>
    </row>
    <row r="4" ht="30" customHeight="1">
      <c r="A4" s="17" t="inlineStr">
        <is>
          <t>Item</t>
        </is>
      </c>
      <c r="B4" s="17" t="inlineStr">
        <is>
          <t>Valor</t>
        </is>
      </c>
      <c r="C4" s="17" t="inlineStr">
        <is>
          <t>Quem paga</t>
        </is>
      </c>
      <c r="D4" s="17" t="inlineStr">
        <is>
          <t>Observação</t>
        </is>
      </c>
    </row>
    <row r="5" ht="20" customHeight="1">
      <c r="A5" s="18" t="inlineStr">
        <is>
          <t>1. PREÇO</t>
        </is>
      </c>
      <c r="B5" s="19" t="n"/>
      <c r="C5" s="19" t="n"/>
      <c r="D5" s="19" t="n"/>
    </row>
    <row r="6" ht="22" customHeight="1">
      <c r="A6" s="20" t="inlineStr">
        <is>
          <t>Preço negociado (R$)</t>
        </is>
      </c>
      <c r="B6" s="21" t="n">
        <v>56500</v>
      </c>
      <c r="C6" s="22" t="n"/>
      <c r="D6" s="23" t="inlineStr">
        <is>
          <t>O valor que você vai pagar pelo carro.</t>
        </is>
      </c>
    </row>
    <row r="7" ht="20" customHeight="1">
      <c r="A7" s="18" t="inlineStr">
        <is>
          <t>2. TRANSFERÊNCIA (valores variam por estado)</t>
        </is>
      </c>
      <c r="B7" s="19" t="n"/>
      <c r="C7" s="19" t="n"/>
      <c r="D7" s="19" t="n"/>
    </row>
    <row r="8" ht="22" customHeight="1">
      <c r="A8" s="20" t="inlineStr">
        <is>
          <t>Vistoria de transferência (R$)</t>
        </is>
      </c>
      <c r="B8" s="21" t="n"/>
      <c r="C8" s="22" t="n"/>
      <c r="D8" s="24" t="inlineStr">
        <is>
          <t>Consulte o órgão de trânsito do seu estado. [VERIFICAR]</t>
        </is>
      </c>
    </row>
    <row r="9" ht="22" customHeight="1">
      <c r="A9" s="20" t="inlineStr">
        <is>
          <t>Taxa do órgão estadual de trânsito (R$)</t>
        </is>
      </c>
      <c r="B9" s="21" t="n"/>
      <c r="C9" s="22" t="n"/>
      <c r="D9" s="24" t="inlineStr">
        <is>
          <t>Consulte o órgão de trânsito do seu estado. [VERIFICAR]</t>
        </is>
      </c>
    </row>
    <row r="10" ht="22" customHeight="1">
      <c r="A10" s="20" t="inlineStr">
        <is>
          <t>Reconhecimento de firma / assinatura, se aplicável (R$)</t>
        </is>
      </c>
      <c r="B10" s="21" t="n"/>
      <c r="C10" s="22" t="n"/>
      <c r="D10" s="24" t="inlineStr">
        <is>
          <t>Depende da forma de transferência do seu estado (papel ou eletrônica). [VERIFICAR]</t>
        </is>
      </c>
    </row>
    <row r="11" ht="22" customHeight="1">
      <c r="A11" s="20" t="inlineStr">
        <is>
          <t>Despachante (opcional) (R$)</t>
        </is>
      </c>
      <c r="B11" s="21" t="n"/>
      <c r="C11" s="22" t="n"/>
      <c r="D11" s="23" t="inlineStr">
        <is>
          <t>Só se você optar por contratar.</t>
        </is>
      </c>
    </row>
    <row r="12" ht="22" customHeight="1">
      <c r="A12" s="25" t="inlineStr">
        <is>
          <t>Subtotal transferência</t>
        </is>
      </c>
      <c r="B12" s="26">
        <f>SUM(B8:B11)</f>
        <v/>
      </c>
      <c r="C12" s="22" t="n"/>
      <c r="D12" s="23" t="inlineStr"/>
    </row>
    <row r="13" ht="20" customHeight="1">
      <c r="A13" s="18" t="inlineStr">
        <is>
          <t>3. DÉBITOS PENDENTES DO VEÍCULO (combine quem paga)</t>
        </is>
      </c>
      <c r="B13" s="19" t="n"/>
      <c r="C13" s="19" t="n"/>
      <c r="D13" s="19" t="n"/>
    </row>
    <row r="14" ht="22" customHeight="1">
      <c r="A14" s="20" t="inlineStr">
        <is>
          <t>IPVA em aberto (R$)</t>
        </is>
      </c>
      <c r="B14" s="21" t="n">
        <v>0</v>
      </c>
      <c r="C14" s="9" t="inlineStr">
        <is>
          <t>Vendedor</t>
        </is>
      </c>
      <c r="D14" s="23" t="inlineStr">
        <is>
          <t>Consulte antes. Se o vendedor paga, exija quitação antes da transferência ou desconto no preço.</t>
        </is>
      </c>
    </row>
    <row r="15" ht="22" customHeight="1">
      <c r="A15" s="20" t="inlineStr">
        <is>
          <t>Licenciamento em aberto (R$)</t>
        </is>
      </c>
      <c r="B15" s="21" t="n">
        <v>0</v>
      </c>
      <c r="C15" s="9" t="inlineStr">
        <is>
          <t>Vendedor</t>
        </is>
      </c>
      <c r="D15" s="23" t="inlineStr"/>
    </row>
    <row r="16" ht="22" customHeight="1">
      <c r="A16" s="20" t="inlineStr">
        <is>
          <t>Multas em aberto (R$)</t>
        </is>
      </c>
      <c r="B16" s="21" t="n">
        <v>195.23</v>
      </c>
      <c r="C16" s="9" t="inlineStr">
        <is>
          <t>Vendedor</t>
        </is>
      </c>
      <c r="D16" s="23" t="inlineStr"/>
    </row>
    <row r="17" ht="22" customHeight="1">
      <c r="A17" s="25" t="inlineStr">
        <is>
          <t>Débitos que ficam com você (comprador)</t>
        </is>
      </c>
      <c r="B17" s="26">
        <f>SUMIF(C14:C16,"Comprador",B14:B16)</f>
        <v/>
      </c>
      <c r="C17" s="22" t="n"/>
      <c r="D17" s="23" t="inlineStr">
        <is>
          <t>Soma só o que está marcado "Comprador".</t>
        </is>
      </c>
    </row>
    <row r="18" ht="20" customHeight="1">
      <c r="A18" s="18" t="inlineStr">
        <is>
          <t>4. PROTEÇÃO E DEIXAR O CARRO EM DIA</t>
        </is>
      </c>
      <c r="B18" s="19" t="n"/>
      <c r="C18" s="19" t="n"/>
      <c r="D18" s="19" t="n"/>
    </row>
    <row r="19" ht="22" customHeight="1">
      <c r="A19" s="20" t="inlineStr">
        <is>
          <t>Vistoria cautelar (R$)</t>
        </is>
      </c>
      <c r="B19" s="21" t="n">
        <v>350</v>
      </c>
      <c r="C19" s="22" t="n"/>
      <c r="D19" s="23" t="inlineStr">
        <is>
          <t>Feita por vistoriador antes de pagar.</t>
        </is>
      </c>
    </row>
    <row r="20" ht="22" customHeight="1">
      <c r="A20" s="20" t="inlineStr">
        <is>
          <t>Seguro: 1ª parcela (R$)</t>
        </is>
      </c>
      <c r="B20" s="21" t="n">
        <v>480</v>
      </c>
      <c r="C20" s="22" t="n"/>
      <c r="D20" s="23" t="inlineStr">
        <is>
          <t>Contrate para valer a partir da retirada do carro.</t>
        </is>
      </c>
    </row>
    <row r="21" ht="22" customHeight="1">
      <c r="A21" s="20" t="inlineStr">
        <is>
          <t>Seguro: valor anual (R$)</t>
        </is>
      </c>
      <c r="B21" s="21" t="n">
        <v>3600</v>
      </c>
      <c r="C21" s="22" t="n"/>
      <c r="D21" s="23" t="inlineStr">
        <is>
          <t>Usado no custo do 1º ano e no orçamento mensal.</t>
        </is>
      </c>
    </row>
    <row r="22" ht="22" customHeight="1">
      <c r="A22" s="20" t="inlineStr">
        <is>
          <t>Revisão pós-compra: óleo e filtros (R$)</t>
        </is>
      </c>
      <c r="B22" s="21" t="n">
        <v>600</v>
      </c>
      <c r="C22" s="22" t="n"/>
      <c r="D22" s="23" t="inlineStr">
        <is>
          <t>Orçamento de oficina de confiança.</t>
        </is>
      </c>
    </row>
    <row r="23" ht="22" customHeight="1">
      <c r="A23" s="20" t="inlineStr">
        <is>
          <t>Correias, se a km pedir (R$)</t>
        </is>
      </c>
      <c r="B23" s="21" t="n">
        <v>0</v>
      </c>
      <c r="C23" s="22" t="n"/>
      <c r="D23" s="23" t="inlineStr">
        <is>
          <t>Siga o manual do fabricante para o intervalo.</t>
        </is>
      </c>
    </row>
    <row r="24" ht="22" customHeight="1">
      <c r="A24" s="20" t="inlineStr">
        <is>
          <t>Pneus, se o laudo apontar (R$)</t>
        </is>
      </c>
      <c r="B24" s="21" t="n">
        <v>1600</v>
      </c>
      <c r="C24" s="22" t="n"/>
      <c r="D24" s="23" t="inlineStr"/>
    </row>
    <row r="25" ht="22" customHeight="1">
      <c r="A25" s="20" t="inlineStr">
        <is>
          <t>Freios, se o laudo apontar (R$)</t>
        </is>
      </c>
      <c r="B25" s="21" t="n">
        <v>0</v>
      </c>
      <c r="C25" s="22" t="n"/>
      <c r="D25" s="23" t="inlineStr"/>
    </row>
    <row r="26" ht="22" customHeight="1">
      <c r="A26" s="20" t="inlineStr">
        <is>
          <t>Outros reparos apontados (R$)</t>
        </is>
      </c>
      <c r="B26" s="21" t="n">
        <v>1200</v>
      </c>
      <c r="C26" s="22" t="n"/>
      <c r="D26" s="23" t="inlineStr">
        <is>
          <t>Itens do laudo cautelar orçados em oficina.</t>
        </is>
      </c>
    </row>
    <row r="27" ht="22" customHeight="1">
      <c r="A27" s="25" t="inlineStr">
        <is>
          <t>Subtotal logo após a compra (revisão e reparos)</t>
        </is>
      </c>
      <c r="B27" s="26">
        <f>SUM(B22:B26)</f>
        <v/>
      </c>
      <c r="C27" s="22" t="n"/>
      <c r="D27" s="23" t="inlineStr"/>
    </row>
    <row r="28" ht="20" customHeight="1">
      <c r="A28" s="18" t="inlineStr">
        <is>
          <t>5. RESERVA DE IMPREVISTOS</t>
        </is>
      </c>
      <c r="B28" s="19" t="n"/>
      <c r="C28" s="19" t="n"/>
      <c r="D28" s="19" t="n"/>
    </row>
    <row r="29" ht="22" customHeight="1">
      <c r="A29" s="20" t="inlineStr">
        <is>
          <t>Reserva (% do preço)</t>
        </is>
      </c>
      <c r="B29" s="27" t="n">
        <v>0.1</v>
      </c>
      <c r="C29" s="22" t="n"/>
      <c r="D29" s="23" t="inlineStr">
        <is>
          <t>Padrão 10%. Ajuste como preferir.</t>
        </is>
      </c>
    </row>
    <row r="30" ht="22" customHeight="1">
      <c r="A30" s="25" t="inlineStr">
        <is>
          <t>Reserva de imprevistos (R$)</t>
        </is>
      </c>
      <c r="B30" s="26">
        <f>N($B$6)*N($B$29)</f>
        <v/>
      </c>
      <c r="C30" s="22" t="n"/>
      <c r="D30" s="23" t="inlineStr">
        <is>
          <t>Dinheiro separado, não é gasto certo.</t>
        </is>
      </c>
    </row>
    <row r="31" ht="20" customHeight="1">
      <c r="A31" s="18" t="inlineStr">
        <is>
          <t>6. SE FOR FINANCIAR</t>
        </is>
      </c>
      <c r="B31" s="19" t="n"/>
      <c r="C31" s="19" t="n"/>
      <c r="D31" s="19" t="n"/>
    </row>
    <row r="32" ht="22" customHeight="1">
      <c r="A32" s="20" t="inlineStr">
        <is>
          <t>Vai financiar? (Sim/Não)</t>
        </is>
      </c>
      <c r="B32" s="28" t="inlineStr">
        <is>
          <t>Sim</t>
        </is>
      </c>
      <c r="C32" s="22" t="n"/>
      <c r="D32" s="23" t="inlineStr">
        <is>
          <t>"Não" zera os cálculos do financiamento.</t>
        </is>
      </c>
    </row>
    <row r="33" ht="22" customHeight="1">
      <c r="A33" s="20" t="inlineStr">
        <is>
          <t>Entrada (R$)</t>
        </is>
      </c>
      <c r="B33" s="21" t="n">
        <v>20000</v>
      </c>
      <c r="C33" s="22" t="n"/>
      <c r="D33" s="23" t="inlineStr"/>
    </row>
    <row r="34" ht="22" customHeight="1">
      <c r="A34" s="20" t="inlineStr">
        <is>
          <t>Valor financiado (R$)</t>
        </is>
      </c>
      <c r="B34" s="29">
        <f>IF($B$32="Sim",MAX(0,N($B$6)-N($B$33)),0)</f>
        <v/>
      </c>
      <c r="C34" s="22" t="n"/>
      <c r="D34" s="23" t="inlineStr">
        <is>
          <t>Preço − entrada.</t>
        </is>
      </c>
    </row>
    <row r="35" ht="22" customHeight="1">
      <c r="A35" s="20" t="inlineStr">
        <is>
          <t>Número de parcelas</t>
        </is>
      </c>
      <c r="B35" s="30" t="n">
        <v>48</v>
      </c>
      <c r="C35" s="22" t="n"/>
      <c r="D35" s="23" t="inlineStr"/>
    </row>
    <row r="36" ht="22" customHeight="1">
      <c r="A36" s="20" t="inlineStr">
        <is>
          <t>Taxa de juros ao mês (%)</t>
        </is>
      </c>
      <c r="B36" s="31" t="n">
        <v>0.019</v>
      </c>
      <c r="C36" s="22" t="n"/>
      <c r="D36" s="23" t="inlineStr">
        <is>
          <t>Use a taxa informada por escrito. Compare propostas pelo CET (Custo Efetivo Total).</t>
        </is>
      </c>
    </row>
    <row r="37" ht="22" customHeight="1">
      <c r="A37" s="25" t="inlineStr">
        <is>
          <t>Parcela mensal (R$)</t>
        </is>
      </c>
      <c r="B37" s="26">
        <f>IF(OR(NOT($B$32="Sim"),$B$34=0,N($B$35)&lt;=0),0,IF(N($B$36)=0,$B$34/$B$35,PMT($B$36,$B$35,-$B$34)))</f>
        <v/>
      </c>
      <c r="C37" s="22" t="n"/>
      <c r="D37" s="23" t="inlineStr">
        <is>
          <t>Tabela Price (função PMT). A parcela real pode incluir tarifas, seguro e impostos.</t>
        </is>
      </c>
    </row>
    <row r="38" ht="22" customHeight="1">
      <c r="A38" s="20" t="inlineStr">
        <is>
          <t>Total pago nas parcelas (R$)</t>
        </is>
      </c>
      <c r="B38" s="29">
        <f>$B$37*N($B$35)</f>
        <v/>
      </c>
      <c r="C38" s="22" t="n"/>
      <c r="D38" s="23" t="inlineStr">
        <is>
          <t>Parcela × número de parcelas.</t>
        </is>
      </c>
    </row>
    <row r="39" ht="22" customHeight="1">
      <c r="A39" s="20" t="inlineStr">
        <is>
          <t>Custo do financiamento (juros) (R$)</t>
        </is>
      </c>
      <c r="B39" s="29">
        <f>IF($B$37=0,0,$B$38-$B$34)</f>
        <v/>
      </c>
      <c r="C39" s="22" t="n"/>
      <c r="D39" s="23" t="inlineStr">
        <is>
          <t>Total pago nas parcelas − valor financiado.</t>
        </is>
      </c>
    </row>
    <row r="40" ht="20" customHeight="1">
      <c r="A40" s="18" t="inlineStr">
        <is>
          <t>7. CUSTOS DE USO</t>
        </is>
      </c>
      <c r="B40" s="19" t="n"/>
      <c r="C40" s="19" t="n"/>
      <c r="D40" s="19" t="n"/>
    </row>
    <row r="41" ht="22" customHeight="1">
      <c r="A41" s="20" t="inlineStr">
        <is>
          <t>Alíquota de IPVA do seu estado (%)</t>
        </is>
      </c>
      <c r="B41" s="32" t="n">
        <v>0.04</v>
      </c>
      <c r="C41" s="22" t="n"/>
      <c r="D41" s="24" t="inlineStr">
        <is>
          <t>Varia por estado e tipo de veículo. [VERIFICAR]</t>
        </is>
      </c>
    </row>
    <row r="42" ht="22" customHeight="1">
      <c r="A42" s="20" t="inlineStr">
        <is>
          <t>IPVA anual estimado (R$)</t>
        </is>
      </c>
      <c r="B42" s="29">
        <f>N($B$6)*N($B$41)</f>
        <v/>
      </c>
      <c r="C42" s="22" t="n"/>
      <c r="D42" s="23" t="inlineStr">
        <is>
          <t>Alíquota × preço (aproximação: o estado usa tabela própria de valores).</t>
        </is>
      </c>
    </row>
    <row r="43" ht="22" customHeight="1">
      <c r="A43" s="20" t="inlineStr">
        <is>
          <t>Licenciamento anual (taxa) (R$)</t>
        </is>
      </c>
      <c r="B43" s="21" t="n"/>
      <c r="C43" s="22" t="n"/>
      <c r="D43" s="24" t="inlineStr">
        <is>
          <t>Consulte o órgão de trânsito do seu estado. [VERIFICAR]</t>
        </is>
      </c>
    </row>
    <row r="44" ht="22" customHeight="1">
      <c r="A44" s="20" t="inlineStr">
        <is>
          <t>Manutenção mensal estimada (R$)</t>
        </is>
      </c>
      <c r="B44" s="21" t="n">
        <v>150</v>
      </c>
      <c r="C44" s="22" t="n"/>
      <c r="D44" s="23" t="inlineStr">
        <is>
          <t>Média mensal de revisões, pneus e desgaste.</t>
        </is>
      </c>
    </row>
    <row r="45" ht="22" customHeight="1">
      <c r="A45" s="20" t="inlineStr">
        <is>
          <t>Quantos km você roda por mês</t>
        </is>
      </c>
      <c r="B45" s="33" t="n">
        <v>1000</v>
      </c>
      <c r="C45" s="22" t="n"/>
      <c r="D45" s="23" t="inlineStr"/>
    </row>
    <row r="46" ht="22" customHeight="1">
      <c r="A46" s="20" t="inlineStr">
        <is>
          <t>Preço do combustível (R$/litro)</t>
        </is>
      </c>
      <c r="B46" s="21" t="n">
        <v>6</v>
      </c>
      <c r="C46" s="22" t="n"/>
      <c r="D46" s="23" t="inlineStr"/>
    </row>
    <row r="47" ht="22" customHeight="1">
      <c r="A47" s="20" t="inlineStr">
        <is>
          <t>Consumo do carro (km/l)</t>
        </is>
      </c>
      <c r="B47" s="34" t="n">
        <v>12.5</v>
      </c>
      <c r="C47" s="22" t="n"/>
      <c r="D47" s="23" t="inlineStr">
        <is>
          <t>Use um valor realista (cidade), não o melhor caso.</t>
        </is>
      </c>
    </row>
    <row r="48" ht="22" customHeight="1">
      <c r="A48" s="20" t="inlineStr">
        <is>
          <t>Combustível por mês (R$)</t>
        </is>
      </c>
      <c r="B48" s="29">
        <f>IF(N($B$47)=0,0,N($B$45)*N($B$46)/$B$47)</f>
        <v/>
      </c>
      <c r="C48" s="22" t="n"/>
      <c r="D48" s="23" t="inlineStr">
        <is>
          <t>km/mês × preço ÷ consumo.</t>
        </is>
      </c>
    </row>
    <row r="49" ht="20" customHeight="1">
      <c r="A49" s="18" t="inlineStr">
        <is>
          <t>8. RESUMO</t>
        </is>
      </c>
      <c r="B49" s="19" t="n"/>
      <c r="C49" s="19" t="n"/>
      <c r="D49" s="19" t="n"/>
    </row>
    <row r="50" ht="26" customHeight="1">
      <c r="A50" s="35" t="inlineStr">
        <is>
          <t>DINHEIRO NECESSÁRIO NO DIA DA COMPRA (R$)</t>
        </is>
      </c>
      <c r="B50" s="36">
        <f>IF($B$32="Sim",N($B$33),N($B$6))+$B$12+$B$17+N($B$19)+N($B$20)</f>
        <v/>
      </c>
      <c r="C50" s="22" t="n"/>
      <c r="D50" s="23" t="inlineStr">
        <is>
          <t>Preço (ou entrada) + transferência + débitos seus + vistoria cautelar + 1ª parcela do seguro.</t>
        </is>
      </c>
    </row>
    <row r="51" ht="22" customHeight="1">
      <c r="A51" s="20" t="inlineStr">
        <is>
          <t>Logo após a compra: revisão e reparos (R$)</t>
        </is>
      </c>
      <c r="B51" s="29">
        <f>$B$27</f>
        <v/>
      </c>
      <c r="C51" s="22" t="n"/>
      <c r="D51" s="23" t="inlineStr">
        <is>
          <t>Subtotal do bloco 4 (sem o seguro e a cautelar).</t>
        </is>
      </c>
    </row>
    <row r="52" ht="22" customHeight="1">
      <c r="A52" s="25" t="inlineStr">
        <is>
          <t>Para comprar, deixar em dia e ter reserva (R$)</t>
        </is>
      </c>
      <c r="B52" s="26">
        <f>$B$50+$B$51+$B$30</f>
        <v/>
      </c>
      <c r="C52" s="22" t="n"/>
      <c r="D52" s="23" t="inlineStr">
        <is>
          <t>Dia da compra + logo após + reserva.</t>
        </is>
      </c>
    </row>
    <row r="53" ht="46" customHeight="1">
      <c r="A53" s="35" t="inlineStr">
        <is>
          <t>CUSTO TOTAL NO 1º ANO (R$)</t>
        </is>
      </c>
      <c r="B53" s="36">
        <f>IF(AND($B$32="Sim",$B$37&gt;0),N($B$33)+$B$37*MIN(12,N($B$35)),N($B$6))+$B$12+$B$17+N($B$19)+$B$27+MAX(N($B$21),N($B$20))+$B$42+N($B$43)+N($B$44)*12+$B$48*12</f>
        <v/>
      </c>
      <c r="C53" s="22" t="n"/>
      <c r="D53" s="23" t="inlineStr">
        <is>
          <t>Compra (ou entrada + 12 parcelas) + transferência + débitos + cautelar + reparos + seguro anual + IPVA + licenciamento + manutenção × 12 + combustível × 12. Não inclui a reserva.</t>
        </is>
      </c>
    </row>
    <row r="54" ht="22" customHeight="1">
      <c r="A54" s="20" t="inlineStr">
        <is>
          <t>Equivale a, por mês, no 1º ano (R$)</t>
        </is>
      </c>
      <c r="B54" s="29">
        <f>$B$53/12</f>
        <v/>
      </c>
      <c r="C54" s="22" t="n"/>
      <c r="D54" s="23" t="inlineStr">
        <is>
          <t>Custo do 1º ano ÷ 12.</t>
        </is>
      </c>
    </row>
    <row r="56" ht="26" customHeight="1">
      <c r="A56" s="37" t="inlineStr">
        <is>
          <t>Valores de exemplo fictícios. Taxas públicas, alíquotas e prazos mudam por estado e ao longo do tempo: confirme no órgão de trânsito e na secretaria da fazenda do seu estado. Em financiamento, peça a proposta por escrito com o CET (Custo Efetivo Total). Esta planilha é uma ferramenta de organização, não conselho financeiro.</t>
        </is>
      </c>
    </row>
    <row r="57" ht="26" customHeight="1"/>
  </sheetData>
  <mergeCells count="3">
    <mergeCell ref="A1:D1"/>
    <mergeCell ref="A56:D57"/>
    <mergeCell ref="A2:D2"/>
  </mergeCells>
  <conditionalFormatting sqref="C14:C16">
    <cfRule type="cellIs" priority="1" operator="equal" dxfId="0">
      <formula>"Comprador"</formula>
    </cfRule>
  </conditionalFormatting>
  <dataValidations count="30">
    <dataValidation sqref="C14" showDropDown="0" showInputMessage="0" showErrorMessage="1" allowBlank="1" errorTitle="Valor inválido" error="Escolha um valor da lista." type="list">
      <formula1>"Vendedor,Comprador"</formula1>
    </dataValidation>
    <dataValidation sqref="C15" showDropDown="0" showInputMessage="0" showErrorMessage="1" allowBlank="1" errorTitle="Valor inválido" error="Escolha um valor da lista." type="list">
      <formula1>"Vendedor,Comprador"</formula1>
    </dataValidation>
    <dataValidation sqref="C16" showDropDown="0" showInputMessage="0" showErrorMessage="1" allowBlank="1" errorTitle="Valor inválido" error="Escolha um valor da lista." type="list">
      <formula1>"Vendedor,Comprador"</formula1>
    </dataValidation>
    <dataValidation sqref="B32" showDropDown="0" showInputMessage="0" showErrorMessage="1" allowBlank="1" errorTitle="Valor inválido" error="Escolha um valor da lista." type="list">
      <formula1>"Sim,Não"</formula1>
    </dataValidation>
    <dataValidation sqref="B6" showDropDown="0" showInputMessage="0" showErrorMessage="1" allowBlank="1" errorTitle="Valor inválido" error="Digite um número válido." type="decimal" operator="greaterThanOrEqual">
      <formula1>0</formula1>
    </dataValidation>
    <dataValidation sqref="B8" showDropDown="0" showInputMessage="0" showErrorMessage="1" allowBlank="1" errorTitle="Valor inválido" error="Digite um número válido." type="decimal" operator="greaterThanOrEqual">
      <formula1>0</formula1>
    </dataValidation>
    <dataValidation sqref="B9" showDropDown="0" showInputMessage="0" showErrorMessage="1" allowBlank="1" errorTitle="Valor inválido" error="Digite um número válido." type="decimal" operator="greaterThanOrEqual">
      <formula1>0</formula1>
    </dataValidation>
    <dataValidation sqref="B10" showDropDown="0" showInputMessage="0" showErrorMessage="1" allowBlank="1" errorTitle="Valor inválido" error="Digite um número válido." type="decimal" operator="greaterThanOrEqual">
      <formula1>0</formula1>
    </dataValidation>
    <dataValidation sqref="B11" showDropDown="0" showInputMessage="0" showErrorMessage="1" allowBlank="1" errorTitle="Valor inválido" error="Digite um número válido." type="decimal" operator="greaterThanOrEqual">
      <formula1>0</formula1>
    </dataValidation>
    <dataValidation sqref="B14" showDropDown="0" showInputMessage="0" showErrorMessage="1" allowBlank="1" errorTitle="Valor inválido" error="Digite um número válido." type="decimal" operator="greaterThanOrEqual">
      <formula1>0</formula1>
    </dataValidation>
    <dataValidation sqref="B15" showDropDown="0" showInputMessage="0" showErrorMessage="1" allowBlank="1" errorTitle="Valor inválido" error="Digite um número válido." type="decimal" operator="greaterThanOrEqual">
      <formula1>0</formula1>
    </dataValidation>
    <dataValidation sqref="B16" showDropDown="0" showInputMessage="0" showErrorMessage="1" allowBlank="1" errorTitle="Valor inválido" error="Digite um número válido." type="decimal" operator="greaterThanOrEqual">
      <formula1>0</formula1>
    </dataValidation>
    <dataValidation sqref="B19" showDropDown="0" showInputMessage="0" showErrorMessage="1" allowBlank="1" errorTitle="Valor inválido" error="Digite um número válido." type="decimal" operator="greaterThanOrEqual">
      <formula1>0</formula1>
    </dataValidation>
    <dataValidation sqref="B20" showDropDown="0" showInputMessage="0" showErrorMessage="1" allowBlank="1" errorTitle="Valor inválido" error="Digite um número válido." type="decimal" operator="greaterThanOrEqual">
      <formula1>0</formula1>
    </dataValidation>
    <dataValidation sqref="B21" showDropDown="0" showInputMessage="0" showErrorMessage="1" allowBlank="1" errorTitle="Valor inválido" error="Digite um número válido." type="decimal" operator="greaterThanOrEqual">
      <formula1>0</formula1>
    </dataValidation>
    <dataValidation sqref="B22" showDropDown="0" showInputMessage="0" showErrorMessage="1" allowBlank="1" errorTitle="Valor inválido" error="Digite um número válido." type="decimal" operator="greaterThanOrEqual">
      <formula1>0</formula1>
    </dataValidation>
    <dataValidation sqref="B23" showDropDown="0" showInputMessage="0" showErrorMessage="1" allowBlank="1" errorTitle="Valor inválido" error="Digite um número válido." type="decimal" operator="greaterThanOrEqual">
      <formula1>0</formula1>
    </dataValidation>
    <dataValidation sqref="B24" showDropDown="0" showInputMessage="0" showErrorMessage="1" allowBlank="1" errorTitle="Valor inválido" error="Digite um número válido." type="decimal" operator="greaterThanOrEqual">
      <formula1>0</formula1>
    </dataValidation>
    <dataValidation sqref="B25" showDropDown="0" showInputMessage="0" showErrorMessage="1" allowBlank="1" errorTitle="Valor inválido" error="Digite um número válido." type="decimal" operator="greaterThanOrEqual">
      <formula1>0</formula1>
    </dataValidation>
    <dataValidation sqref="B26" showDropDown="0" showInputMessage="0" showErrorMessage="1" allowBlank="1" errorTitle="Valor inválido" error="Digite um número válido." type="decimal" operator="greaterThanOrEqual">
      <formula1>0</formula1>
    </dataValidation>
    <dataValidation sqref="B33" showDropDown="0" showInputMessage="0" showErrorMessage="1" allowBlank="1" errorTitle="Valor inválido" error="Digite um número válido." type="decimal" operator="greaterThanOrEqual">
      <formula1>0</formula1>
    </dataValidation>
    <dataValidation sqref="B43" showDropDown="0" showInputMessage="0" showErrorMessage="1" allowBlank="1" errorTitle="Valor inválido" error="Digite um número válido." type="decimal" operator="greaterThanOrEqual">
      <formula1>0</formula1>
    </dataValidation>
    <dataValidation sqref="B44" showDropDown="0" showInputMessage="0" showErrorMessage="1" allowBlank="1" errorTitle="Valor inválido" error="Digite um número válido." type="decimal" operator="greaterThanOrEqual">
      <formula1>0</formula1>
    </dataValidation>
    <dataValidation sqref="B45" showDropDown="0" showInputMessage="0" showErrorMessage="1" allowBlank="1" errorTitle="Valor inválido" error="Digite um número válido." type="decimal" operator="greaterThanOrEqual">
      <formula1>0</formula1>
    </dataValidation>
    <dataValidation sqref="B46" showDropDown="0" showInputMessage="0" showErrorMessage="1" allowBlank="1" errorTitle="Valor inválido" error="Digite um número válido." type="decimal" operator="greaterThanOrEqual">
      <formula1>0</formula1>
    </dataValidation>
    <dataValidation sqref="B47" showDropDown="0" showInputMessage="0" showErrorMessage="1" allowBlank="1" errorTitle="Valor inválido" error="Digite um número válido." type="decimal" operator="greaterThanOrEqual">
      <formula1>0</formula1>
    </dataValidation>
    <dataValidation sqref="B35" showDropDown="0" showInputMessage="0" showErrorMessage="1" allowBlank="1" errorTitle="Valor inválido" error="Número inteiro de parcelas (0 a 120)." type="whole" operator="between">
      <formula1>0</formula1>
      <formula2>120</formula2>
    </dataValidation>
    <dataValidation sqref="B29" showDropDown="0" showInputMessage="0" showErrorMessage="1" allowBlank="1" errorTitle="Valor inválido" error="Digite um percentual (ex.: 1,9% ou 0,019)." type="decimal" operator="between">
      <formula1>0</formula1>
      <formula2>1</formula2>
    </dataValidation>
    <dataValidation sqref="B36" showDropDown="0" showInputMessage="0" showErrorMessage="1" allowBlank="1" errorTitle="Valor inválido" error="Digite um percentual (ex.: 1,9% ou 0,019)." type="decimal" operator="between">
      <formula1>0</formula1>
      <formula2>1</formula2>
    </dataValidation>
    <dataValidation sqref="B41" showDropDown="0" showInputMessage="0" showErrorMessage="1" allowBlank="1" errorTitle="Valor inválido" error="Digite um percentual (ex.: 1,9% ou 0,019)." type="decimal" operator="between">
      <formula1>0</formula1>
      <formula2>1</formula2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Antes de Fechar Negócio&amp;R&amp;8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58" customWidth="1" min="3" max="3"/>
  </cols>
  <sheetData>
    <row r="1" ht="28" customHeight="1">
      <c r="A1" s="15" t="inlineStr">
        <is>
          <t>ANTES DE FECHAR NEGÓCIO  |  ORÇAMENTO MENSAL DO CARRO</t>
        </is>
      </c>
      <c r="B1" s="1" t="n"/>
      <c r="C1" s="1" t="n"/>
    </row>
    <row r="2" ht="32" customHeight="1">
      <c r="A2" s="16" t="inlineStr">
        <is>
          <t>Quanto o carro vai custar por mês comparado com a sua renda disponível. É um indicador para você organizar as contas, não uma regra.</t>
        </is>
      </c>
    </row>
    <row r="4" ht="30" customHeight="1">
      <c r="A4" s="17" t="inlineStr">
        <is>
          <t>Item</t>
        </is>
      </c>
      <c r="B4" s="17" t="inlineStr">
        <is>
          <t>Por mês (R$)</t>
        </is>
      </c>
      <c r="C4" s="17" t="inlineStr">
        <is>
          <t>De onde vem</t>
        </is>
      </c>
    </row>
    <row r="5" ht="22" customHeight="1">
      <c r="A5" s="38" t="inlineStr">
        <is>
          <t>Renda mensal disponível (líquida) (R$)</t>
        </is>
      </c>
      <c r="B5" s="39" t="n">
        <v>6500</v>
      </c>
      <c r="C5" s="23" t="inlineStr">
        <is>
          <t>Quanto entra por mês, já descontados impostos.</t>
        </is>
      </c>
    </row>
    <row r="6" ht="22" customHeight="1">
      <c r="A6" s="38" t="inlineStr">
        <is>
          <t>Limite que você define (% da renda)</t>
        </is>
      </c>
      <c r="B6" s="40" t="n">
        <v>0.2</v>
      </c>
      <c r="C6" s="23" t="inlineStr">
        <is>
          <t>Padrão 20%. É só uma referência pessoal; ajuste à sua realidade.</t>
        </is>
      </c>
    </row>
    <row r="7" ht="20" customHeight="1">
      <c r="A7" s="18" t="inlineStr">
        <is>
          <t>CUSTOS MENSAIS DO CARRO</t>
        </is>
      </c>
      <c r="B7" s="19" t="n"/>
      <c r="C7" s="19" t="n"/>
    </row>
    <row r="8" ht="22" customHeight="1">
      <c r="A8" s="20" t="inlineStr">
        <is>
          <t>Parcela do financiamento</t>
        </is>
      </c>
      <c r="B8" s="29">
        <f>'Custo total'!$B$37</f>
        <v/>
      </c>
      <c r="C8" s="23" t="inlineStr">
        <is>
          <t>Da aba Custo total (0 se não financiar).</t>
        </is>
      </c>
    </row>
    <row r="9" ht="22" customHeight="1">
      <c r="A9" s="20" t="inlineStr">
        <is>
          <t>Seguro (valor anual ÷ 12)</t>
        </is>
      </c>
      <c r="B9" s="29">
        <f>MAX(N('Custo total'!$B$21),N('Custo total'!$B$20))/12</f>
        <v/>
      </c>
      <c r="C9" s="23" t="inlineStr">
        <is>
          <t>Da aba Custo total.</t>
        </is>
      </c>
    </row>
    <row r="10" ht="22" customHeight="1">
      <c r="A10" s="20" t="inlineStr">
        <is>
          <t>IPVA estimado (÷ 12)</t>
        </is>
      </c>
      <c r="B10" s="29">
        <f>'Custo total'!$B$42/12</f>
        <v/>
      </c>
      <c r="C10" s="23" t="inlineStr">
        <is>
          <t>Da aba Custo total.</t>
        </is>
      </c>
    </row>
    <row r="11" ht="22" customHeight="1">
      <c r="A11" s="20" t="inlineStr">
        <is>
          <t>Licenciamento (÷ 12)</t>
        </is>
      </c>
      <c r="B11" s="29">
        <f>N('Custo total'!$B$43)/12</f>
        <v/>
      </c>
      <c r="C11" s="23" t="inlineStr">
        <is>
          <t>Da aba Custo total.</t>
        </is>
      </c>
    </row>
    <row r="12" ht="22" customHeight="1">
      <c r="A12" s="20" t="inlineStr">
        <is>
          <t>Manutenção</t>
        </is>
      </c>
      <c r="B12" s="29">
        <f>N('Custo total'!$B$44)</f>
        <v/>
      </c>
      <c r="C12" s="23" t="inlineStr">
        <is>
          <t>Da aba Custo total.</t>
        </is>
      </c>
    </row>
    <row r="13" ht="22" customHeight="1">
      <c r="A13" s="20" t="inlineStr">
        <is>
          <t>Combustível</t>
        </is>
      </c>
      <c r="B13" s="29">
        <f>'Custo total'!$B$48</f>
        <v/>
      </c>
      <c r="C13" s="23" t="inlineStr">
        <is>
          <t>Da aba Custo total.</t>
        </is>
      </c>
    </row>
    <row r="14" ht="22" customHeight="1">
      <c r="A14" s="20" t="inlineStr">
        <is>
          <t>Estacionamento</t>
        </is>
      </c>
      <c r="B14" s="21" t="n">
        <v>150</v>
      </c>
      <c r="C14" s="23" t="inlineStr">
        <is>
          <t>Garagem, rotativo, condomínio.</t>
        </is>
      </c>
    </row>
    <row r="15" ht="22" customHeight="1">
      <c r="A15" s="20" t="inlineStr">
        <is>
          <t>Pedágio, lavagem e outros</t>
        </is>
      </c>
      <c r="B15" s="21" t="n">
        <v>80</v>
      </c>
      <c r="C15" s="23" t="inlineStr"/>
    </row>
    <row r="16" ht="22" customHeight="1">
      <c r="A16" s="25" t="inlineStr">
        <is>
          <t>CUSTO MENSAL DO CARRO</t>
        </is>
      </c>
      <c r="B16" s="26">
        <f>SUM(B8:B15)</f>
        <v/>
      </c>
      <c r="C16" s="23" t="inlineStr">
        <is>
          <t>Soma dos itens acima.</t>
        </is>
      </c>
    </row>
    <row r="17" ht="22" customHeight="1">
      <c r="A17" s="25" t="inlineStr">
        <is>
          <t>Quanto isso representa da sua renda</t>
        </is>
      </c>
      <c r="B17" s="41">
        <f>IF(N(B5)=0,"",B16/B5)</f>
        <v/>
      </c>
      <c r="C17" s="23" t="inlineStr"/>
    </row>
    <row r="18" ht="22" customHeight="1">
      <c r="A18" s="20" t="inlineStr">
        <is>
          <t>Sobra da renda depois do carro</t>
        </is>
      </c>
      <c r="B18" s="29">
        <f>N(B5)-B16</f>
        <v/>
      </c>
      <c r="C18" s="23" t="inlineStr">
        <is>
          <t>Renda − custo mensal do carro.</t>
        </is>
      </c>
    </row>
    <row r="19" ht="30" customHeight="1">
      <c r="A19" s="25" t="inlineStr">
        <is>
          <t>Indicador</t>
        </is>
      </c>
      <c r="B19" s="42">
        <f>IF(B17="","Informe sua renda disponível.",IF(B17&gt;B6,"Acima do limite que você definiu: reveja o orçamento antes de fechar.","Dentro do limite que você definiu."))</f>
        <v/>
      </c>
      <c r="C19" s="43" t="n"/>
    </row>
    <row r="21" ht="24" customHeight="1">
      <c r="A21" s="37" t="inlineStr">
        <is>
          <t>Quando o financiamento terminar, a parcela sai da conta. Manutenção tende a subir com a idade e a quilometragem do carro. O limite de % da renda é uma referência que você escolhe, não uma recomendação.</t>
        </is>
      </c>
    </row>
    <row r="22" ht="24" customHeight="1"/>
  </sheetData>
  <mergeCells count="4">
    <mergeCell ref="A1:C1"/>
    <mergeCell ref="A21:C22"/>
    <mergeCell ref="B19:C19"/>
    <mergeCell ref="A2:C2"/>
  </mergeCells>
  <conditionalFormatting sqref="B19">
    <cfRule type="expression" priority="1" dxfId="1">
      <formula>LEFT(B19,5)="Acima"</formula>
    </cfRule>
    <cfRule type="expression" priority="2" dxfId="2">
      <formula>LEFT(B19,6)="Dentro"</formula>
    </cfRule>
  </conditionalFormatting>
  <conditionalFormatting sqref="B18">
    <cfRule type="cellIs" priority="3" operator="lessThan" dxfId="3">
      <formula>0</formula>
    </cfRule>
  </conditionalFormatting>
  <dataValidations count="3">
    <dataValidation sqref="B5" showDropDown="0" showInputMessage="0" showErrorMessage="1" allowBlank="1" errorTitle="Valor inválido" error="Digite um número válido." type="decimal" operator="greaterThanOrEqual">
      <formula1>0</formula1>
    </dataValidation>
    <dataValidation sqref="B6" showDropDown="0" showInputMessage="0" showErrorMessage="1" allowBlank="1" errorTitle="Valor inválido" error="Digite um percentual (ex.: 20%)." type="decimal" operator="between">
      <formula1>0</formula1>
      <formula2>1</formula2>
    </dataValidation>
    <dataValidation sqref="B14:B15" showDropDown="0" showInputMessage="0" showErrorMessage="1" allowBlank="1" errorTitle="Valor inválido" error="Digite um número válido." type="decimal" operator="greaterThanOrEqual">
      <formula1>0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Antes de Fechar Negócio&amp;R&amp;8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2026-09-30T21:46:01Z</dcterms:created>
  <dcterms:modified xmlns:dcterms="http://purl.org/dc/terms/" xmlns:xsi="http://www.w3.org/2001/XMLSchema-instance" xsi:type="dcterms:W3CDTF">2026-09-30T21:46:01Z</dcterms:modified>
</cp:coreProperties>
</file>