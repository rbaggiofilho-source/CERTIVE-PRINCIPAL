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Agenda" sheetId="2" state="visible" r:id="rId2"/>
  </sheets>
  <definedNames>
    <definedName name="_xlnm.Print_Area" localSheetId="0">'Capa'!$A$1:$F$28</definedName>
    <definedName name="_xlnm.Print_Titles" localSheetId="1">'Agenda'!$6:$6</definedName>
    <definedName name="_xlnm.Print_Area" localSheetId="1">'Agenda'!$A$1:$L$54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0.0"/>
    <numFmt numFmtId="167" formatCode="dd/mm"/>
    <numFmt numFmtId="168" formatCode="hh:mm"/>
    <numFmt numFmtId="169" formatCode="[h]:mm"/>
    <numFmt numFmtId="170" formatCode="0.0%;-0.0%;&quot;-&quot;"/>
  </numFmts>
  <fonts count="19">
    <font>
      <name val="Calibri"/>
      <family val="2"/>
      <color theme="1"/>
      <sz val="11"/>
      <scheme val="minor"/>
    </font>
    <font>
      <name val="Calibri"/>
      <b val="1"/>
      <color rgb="00F2A900"/>
      <sz val="24"/>
    </font>
    <font>
      <name val="Calibri"/>
      <i val="1"/>
      <color rgb="00C9CED6"/>
      <sz val="10"/>
    </font>
    <font>
      <name val="Calibri"/>
      <b val="1"/>
      <color rgb="00FFFFFF"/>
      <sz val="18"/>
    </font>
    <font>
      <name val="Calibri"/>
      <b val="1"/>
      <color rgb="000000FF"/>
      <sz val="11"/>
    </font>
    <font>
      <name val="Calibri"/>
      <b val="1"/>
      <color rgb="00B87F00"/>
      <sz val="12"/>
    </font>
    <font>
      <name val="Calibri"/>
      <color rgb="001A1F26"/>
      <sz val="11"/>
    </font>
    <font>
      <name val="Calibri"/>
      <color rgb="000000FF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i val="1"/>
      <color rgb="004E5864"/>
      <sz val="9"/>
    </font>
    <font>
      <name val="Calibri"/>
      <i val="1"/>
      <color rgb="007A8591"/>
      <sz val="8"/>
    </font>
    <font>
      <name val="Calibri"/>
      <b val="1"/>
      <color rgb="00F2A900"/>
      <sz val="14"/>
    </font>
    <font>
      <name val="Calibri"/>
      <b val="1"/>
      <color rgb="004E5864"/>
      <sz val="10"/>
    </font>
    <font>
      <name val="Calibri"/>
      <b val="1"/>
      <color rgb="00FFFFFF"/>
      <sz val="10"/>
    </font>
    <font>
      <name val="Calibri"/>
      <b val="1"/>
      <color rgb="001A1F26"/>
      <sz val="10"/>
    </font>
    <font>
      <name val="Calibri"/>
      <b val="1"/>
      <color rgb="00000000"/>
      <sz val="11"/>
    </font>
    <font>
      <name val="Calibri"/>
      <b val="1"/>
      <color rgb="00C62828"/>
      <sz val="9"/>
    </font>
    <font>
      <name val="Calibri"/>
      <i val="1"/>
      <color rgb="001A1F26"/>
      <sz val="9"/>
    </font>
  </fonts>
  <fills count="9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0F1318"/>
        <bgColor rgb="000F1318"/>
      </patternFill>
    </fill>
    <fill>
      <patternFill patternType="solid">
        <fgColor rgb="00F2A900"/>
        <bgColor rgb="00F2A900"/>
      </patternFill>
    </fill>
    <fill>
      <patternFill patternType="solid">
        <fgColor rgb="00FFF4D6"/>
        <bgColor rgb="00FFF4D6"/>
      </patternFill>
    </fill>
    <fill>
      <patternFill patternType="solid">
        <fgColor rgb="00EEF3FF"/>
        <bgColor rgb="00EEF3FF"/>
      </patternFill>
    </fill>
    <fill>
      <patternFill patternType="solid">
        <fgColor rgb="00F5F6F8"/>
        <bgColor rgb="00F5F6F8"/>
      </patternFill>
    </fill>
    <fill>
      <patternFill patternType="solid">
        <fgColor rgb="001B222B"/>
        <bgColor rgb="001B222B"/>
      </patternFill>
    </fill>
  </fills>
  <borders count="7">
    <border>
      <left/>
      <right/>
      <top/>
      <bottom/>
      <diagonal/>
    </border>
    <border>
      <left style="dashed">
        <color rgb="00B87F00"/>
      </left>
      <right style="dashed">
        <color rgb="00B87F00"/>
      </right>
      <top style="dashed">
        <color rgb="00B87F00"/>
      </top>
      <bottom style="dashed">
        <color rgb="00B87F00"/>
      </bottom>
    </border>
    <border>
      <left style="thin">
        <color rgb="00DDE1E6"/>
      </left>
      <right style="thin">
        <color rgb="00DDE1E6"/>
      </right>
      <top style="thin">
        <color rgb="00DDE1E6"/>
      </top>
      <bottom style="thin">
        <color rgb="00DDE1E6"/>
      </bottom>
    </border>
    <border>
      <left/>
      <right/>
      <top style="thin">
        <color rgb="00DDE1E6"/>
      </top>
      <bottom/>
      <diagonal/>
    </border>
    <border>
      <left/>
      <right style="thin">
        <color rgb="00DDE1E6"/>
      </right>
      <top style="thin">
        <color rgb="00DDE1E6"/>
      </top>
      <bottom/>
      <diagonal/>
    </border>
    <border>
      <left/>
      <right style="thin">
        <color rgb="00DDE1E6"/>
      </right>
      <top style="thin">
        <color rgb="00DDE1E6"/>
      </top>
      <bottom style="thin">
        <color rgb="00DDE1E6"/>
      </bottom>
      <diagonal/>
    </border>
    <border>
      <left/>
      <right/>
      <top style="thin">
        <color rgb="00DDE1E6"/>
      </top>
      <bottom style="thin">
        <color rgb="00DDE1E6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2" borderId="0" pivotButton="0" quotePrefix="0" xfId="0"/>
    <xf numFmtId="0" fontId="6" fillId="2" borderId="0" applyAlignment="1" pivotButton="0" quotePrefix="0" xfId="0">
      <alignment vertical="top" wrapText="1"/>
    </xf>
    <xf numFmtId="0" fontId="7" fillId="6" borderId="2" pivotButton="0" quotePrefix="0" xfId="0"/>
    <xf numFmtId="0" fontId="6" fillId="2" borderId="0" pivotButton="0" quotePrefix="0" xfId="0"/>
    <xf numFmtId="4" fontId="8" fillId="2" borderId="2" pivotButton="0" quotePrefix="0" xfId="0"/>
    <xf numFmtId="0" fontId="9" fillId="3" borderId="2" pivotButton="0" quotePrefix="0" xfId="0"/>
    <xf numFmtId="0" fontId="10" fillId="2" borderId="0" applyAlignment="1" pivotButton="0" quotePrefix="0" xfId="0">
      <alignment vertical="top" wrapText="1"/>
    </xf>
    <xf numFmtId="0" fontId="11" fillId="2" borderId="0" applyAlignment="1" pivotButton="0" quotePrefix="0" xfId="0">
      <alignment wrapText="1"/>
    </xf>
    <xf numFmtId="0" fontId="12" fillId="3" borderId="0" applyAlignment="1" pivotButton="0" quotePrefix="0" xfId="0">
      <alignment horizontal="left" vertical="center" indent="1"/>
    </xf>
    <xf numFmtId="0" fontId="13" fillId="7" borderId="2" applyAlignment="1" pivotButton="0" quotePrefix="0" xfId="0">
      <alignment horizontal="left" vertical="center" wrapText="1"/>
    </xf>
    <xf numFmtId="0" fontId="0" fillId="0" borderId="5" pivotButton="0" quotePrefix="0" xfId="0"/>
    <xf numFmtId="165" fontId="4" fillId="6" borderId="2" pivotButton="0" quotePrefix="0" xfId="0"/>
    <xf numFmtId="166" fontId="7" fillId="6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167" fontId="8" fillId="0" borderId="2" applyAlignment="1" pivotButton="0" quotePrefix="0" xfId="0">
      <alignment horizontal="center" vertical="center" wrapText="1"/>
    </xf>
    <xf numFmtId="168" fontId="7" fillId="6" borderId="2" applyAlignment="1" pivotButton="0" quotePrefix="0" xfId="0">
      <alignment horizontal="center" vertical="center" wrapText="1"/>
    </xf>
    <xf numFmtId="1" fontId="7" fillId="6" borderId="2" applyAlignment="1" pivotButton="0" quotePrefix="0" xfId="0">
      <alignment horizontal="center" vertical="center" wrapText="1"/>
    </xf>
    <xf numFmtId="169" fontId="8" fillId="0" borderId="2" applyAlignment="1" pivotButton="0" quotePrefix="0" xfId="0">
      <alignment horizontal="center" vertical="center" wrapText="1"/>
    </xf>
    <xf numFmtId="168" fontId="8" fillId="0" borderId="2" applyAlignment="1" pivotButton="0" quotePrefix="0" xfId="0">
      <alignment horizontal="center" vertical="center" wrapText="1"/>
    </xf>
    <xf numFmtId="167" fontId="8" fillId="7" borderId="2" applyAlignment="1" pivotButton="0" quotePrefix="0" xfId="0">
      <alignment horizontal="center" vertical="center" wrapText="1"/>
    </xf>
    <xf numFmtId="169" fontId="8" fillId="7" borderId="2" applyAlignment="1" pivotButton="0" quotePrefix="0" xfId="0">
      <alignment horizontal="center" vertical="center" wrapText="1"/>
    </xf>
    <xf numFmtId="168" fontId="8" fillId="7" borderId="2" applyAlignment="1" pivotButton="0" quotePrefix="0" xfId="0">
      <alignment horizontal="center" vertical="center" wrapText="1"/>
    </xf>
    <xf numFmtId="0" fontId="15" fillId="5" borderId="2" pivotButton="0" quotePrefix="0" xfId="0"/>
    <xf numFmtId="0" fontId="0" fillId="5" borderId="2" pivotButton="0" quotePrefix="0" xfId="0"/>
    <xf numFmtId="1" fontId="16" fillId="5" borderId="2" applyAlignment="1" pivotButton="0" quotePrefix="0" xfId="0">
      <alignment horizontal="center" vertical="center" wrapText="1"/>
    </xf>
    <xf numFmtId="169" fontId="16" fillId="5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0" fillId="0" borderId="6" pivotButton="0" quotePrefix="0" xfId="0"/>
    <xf numFmtId="1" fontId="16" fillId="0" borderId="2" applyAlignment="1" pivotButton="0" quotePrefix="0" xfId="0">
      <alignment horizontal="center" vertical="center" wrapText="1"/>
    </xf>
    <xf numFmtId="169" fontId="16" fillId="0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166" fontId="16" fillId="0" borderId="2" applyAlignment="1" pivotButton="0" quotePrefix="0" xfId="0">
      <alignment horizontal="center" vertical="center" wrapText="1"/>
    </xf>
    <xf numFmtId="170" fontId="16" fillId="0" borderId="2" applyAlignment="1" pivotButton="0" quotePrefix="0" xfId="0">
      <alignment horizontal="center" vertical="center" wrapText="1"/>
    </xf>
    <xf numFmtId="0" fontId="18" fillId="5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Protocolo Cautelar</author>
  </authors>
  <commentList>
    <comment ref="B10" authorId="0" shapeId="0">
      <text>
        <t>Substitua pelo seu nome/empresa ou apague o texto e use Inserir &gt; Imagem para colocar sua logo sobre esta área.</t>
      </text>
    </comment>
  </commentList>
</comments>
</file>

<file path=xl/comments/comment2.xml><?xml version="1.0" encoding="utf-8"?>
<comments xmlns="http://schemas.openxmlformats.org/spreadsheetml/2006/main">
  <authors>
    <author>Protocolo Cautelar</author>
  </authors>
  <commentList>
    <comment ref="J2" authorId="0" shapeId="0">
      <text>
        <t>Substitua pelo seu nome/empresa ou apague o texto e use Inserir &gt; Imagem para colocar sua logo sobre esta área.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 ht="36" customHeight="1">
      <c r="A2" s="1" t="n"/>
      <c r="B2" s="2" t="inlineStr">
        <is>
          <t>PROTOCOLO CAUTELAR</t>
        </is>
      </c>
      <c r="F2" s="1" t="n"/>
    </row>
    <row r="3">
      <c r="A3" s="1" t="n"/>
      <c r="B3" s="3" t="inlineStr">
        <is>
          <t>O sistema do vistoriador cautelar</t>
        </is>
      </c>
      <c r="F3" s="1" t="n"/>
    </row>
    <row r="4">
      <c r="A4" s="1" t="n"/>
      <c r="B4" s="1" t="n"/>
      <c r="C4" s="1" t="n"/>
      <c r="D4" s="1" t="n"/>
      <c r="E4" s="1" t="n"/>
      <c r="F4" s="1" t="n"/>
    </row>
    <row r="5" ht="26" customHeight="1">
      <c r="A5" s="1" t="n"/>
      <c r="B5" s="4" t="inlineStr">
        <is>
          <t>Agenda semanal e rota</t>
        </is>
      </c>
      <c r="F5" s="1" t="n"/>
    </row>
    <row r="6" ht="26" customHeight="1">
      <c r="A6" s="1" t="n"/>
      <c r="F6" s="1" t="n"/>
    </row>
    <row r="7">
      <c r="A7" s="1" t="n"/>
      <c r="B7" s="1" t="n"/>
      <c r="C7" s="1" t="n"/>
      <c r="D7" s="1" t="n"/>
      <c r="E7" s="1" t="n"/>
      <c r="F7" s="1" t="n"/>
    </row>
    <row r="8" ht="5" customHeight="1">
      <c r="A8" s="5" t="n"/>
      <c r="B8" s="5" t="n"/>
      <c r="C8" s="5" t="n"/>
      <c r="D8" s="5" t="n"/>
      <c r="E8" s="5" t="n"/>
      <c r="F8" s="5" t="n"/>
    </row>
    <row r="9">
      <c r="A9" s="6" t="n"/>
      <c r="B9" s="6" t="n"/>
      <c r="C9" s="6" t="n"/>
      <c r="D9" s="6" t="n"/>
      <c r="E9" s="6" t="n"/>
      <c r="F9" s="6" t="n"/>
    </row>
    <row r="10" ht="20" customHeight="1">
      <c r="A10" s="6" t="n"/>
      <c r="B10" s="7" t="inlineStr">
        <is>
          <t>[ SUA LOGO / SEU NOME AQUI ]</t>
        </is>
      </c>
      <c r="C10" s="8" t="n"/>
      <c r="D10" s="8" t="n"/>
      <c r="E10" s="8" t="n"/>
      <c r="F10" s="6" t="n"/>
    </row>
    <row r="11" ht="20" customHeight="1">
      <c r="A11" s="6" t="n"/>
      <c r="B11" s="8" t="n"/>
      <c r="C11" s="8" t="n"/>
      <c r="D11" s="8" t="n"/>
      <c r="E11" s="8" t="n"/>
      <c r="F11" s="6" t="n"/>
    </row>
    <row r="12" ht="20" customHeight="1">
      <c r="A12" s="6" t="n"/>
      <c r="B12" s="8" t="n"/>
      <c r="C12" s="8" t="n"/>
      <c r="D12" s="8" t="n"/>
      <c r="E12" s="8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9" t="inlineStr">
        <is>
          <t>COMO USAR</t>
        </is>
      </c>
      <c r="C14" s="6" t="n"/>
      <c r="D14" s="6" t="n"/>
      <c r="E14" s="6" t="n"/>
      <c r="F14" s="6" t="n"/>
    </row>
    <row r="15" ht="32" customHeight="1">
      <c r="A15" s="6" t="n"/>
      <c r="B15" s="10" t="inlineStr">
        <is>
          <t>1. Na aba Agenda, digite a data da segunda-feira da semana: os dias são preenchidos automaticamente.</t>
        </is>
      </c>
      <c r="F15" s="6" t="n"/>
    </row>
    <row r="16" ht="32" customHeight="1">
      <c r="A16" s="6" t="n"/>
      <c r="B16" s="10" t="inlineStr">
        <is>
          <t>2. Para cada vistoria: horário de início, cliente/veículo, tipo, endereço/bairro, tempo estimado (min) e deslocamento até lá (min e km).</t>
        </is>
      </c>
      <c r="F16" s="6" t="n"/>
    </row>
    <row r="17" ht="32" customHeight="1">
      <c r="A17" s="6" t="n"/>
      <c r="B17" s="10" t="inlineStr">
        <is>
          <t>3. A planilha calcula o horário previsto de término e soma horas de vistoria, deslocamento e km por dia e na semana.</t>
        </is>
      </c>
      <c r="F17" s="6" t="n"/>
    </row>
    <row r="18" ht="32" customHeight="1">
      <c r="A18" s="6" t="n"/>
      <c r="B18" s="10" t="inlineStr">
        <is>
          <t>4. Agrupe vistorias do mesmo bairro no mesmo dia para reduzir deslocamento; deixe folga para imprevistos e para o laudo.</t>
        </is>
      </c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9" t="inlineStr">
        <is>
          <t>LEGENDA DE CORES</t>
        </is>
      </c>
      <c r="C20" s="6" t="n"/>
      <c r="D20" s="6" t="n"/>
      <c r="E20" s="6" t="n"/>
      <c r="F20" s="6" t="n"/>
    </row>
    <row r="21">
      <c r="A21" s="6" t="n"/>
      <c r="B21" s="11" t="inlineStr">
        <is>
          <t>1234,00</t>
        </is>
      </c>
      <c r="C21" s="12" t="inlineStr">
        <is>
          <t>Texto AZUL (fundo azul-claro) = ENTRADA: você digita ou escolhe na lista.</t>
        </is>
      </c>
      <c r="F21" s="6" t="n"/>
    </row>
    <row r="22">
      <c r="A22" s="6" t="n"/>
      <c r="B22" s="13">
        <f>2*617</f>
        <v/>
      </c>
      <c r="C22" s="12" t="inlineStr">
        <is>
          <t>Texto PRETO = FÓRMULA: calculado automaticamente. Não digite por cima.</t>
        </is>
      </c>
      <c r="F22" s="6" t="n"/>
    </row>
    <row r="23">
      <c r="A23" s="6" t="n"/>
      <c r="B23" s="14" t="inlineStr">
        <is>
          <t>Cabeçalho</t>
        </is>
      </c>
      <c r="C23" s="12" t="inlineStr">
        <is>
          <t>Faixa escura = títulos de colunas (não editar).</t>
        </is>
      </c>
      <c r="F23" s="6" t="n"/>
    </row>
    <row r="24">
      <c r="A24" s="6" t="n"/>
      <c r="B24" s="6" t="n"/>
      <c r="C24" s="6" t="n"/>
      <c r="D24" s="6" t="n"/>
      <c r="E24" s="6" t="n"/>
      <c r="F24" s="6" t="n"/>
    </row>
    <row r="25" ht="15" customHeight="1">
      <c r="A25" s="6" t="n"/>
      <c r="B25" s="15" t="inlineStr">
        <is>
          <t>Endereço e nome do cliente são dados pessoais (LGPD): compartilhe a agenda só com quem precisa.</t>
        </is>
      </c>
      <c r="F25" s="6" t="n"/>
    </row>
    <row r="26">
      <c r="A26" s="6" t="n"/>
      <c r="B26" s="6" t="n"/>
      <c r="C26" s="6" t="n"/>
      <c r="D26" s="6" t="n"/>
      <c r="E26" s="6" t="n"/>
      <c r="F26" s="6" t="n"/>
    </row>
    <row r="27" ht="24" customHeight="1">
      <c r="A27" s="6" t="n"/>
      <c r="B27" s="16" t="inlineStr">
        <is>
          <t>Os valores de exemplo são fictícios. Placas de exemplo: ABC1D23 / XXX0X00. Material de apoio: não substitui norma, perícia oficial nem vistoria de transferência.</t>
        </is>
      </c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</sheetData>
  <mergeCells count="13">
    <mergeCell ref="B17:E17"/>
    <mergeCell ref="B18:E18"/>
    <mergeCell ref="B27:E27"/>
    <mergeCell ref="B10:E12"/>
    <mergeCell ref="C23:E23"/>
    <mergeCell ref="C22:E22"/>
    <mergeCell ref="B16:E16"/>
    <mergeCell ref="B15:E15"/>
    <mergeCell ref="B25:E25"/>
    <mergeCell ref="B3:E3"/>
    <mergeCell ref="B2:E2"/>
    <mergeCell ref="C21:E21"/>
    <mergeCell ref="B5:E6"/>
  </mergeCells>
  <printOptions horizontalCentered="1"/>
  <pageMargins left="0.4" right="0.4" top="0.5" bottom="0.5" header="0.5" footer="0.5"/>
  <pageSetup orientation="portrait" paperSize="9" fitToHeight="0" fitToWidth="1"/>
  <headerFooter>
    <oddHeader/>
    <oddFooter>&amp;L&amp;8 Protocolo Cautelar&amp;R&amp;8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4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24" customWidth="1" min="4" max="4"/>
    <col width="13" customWidth="1" min="5" max="5"/>
    <col width="3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22" customWidth="1" min="12" max="12"/>
  </cols>
  <sheetData>
    <row r="1" ht="28" customHeight="1">
      <c r="A1" s="17" t="inlineStr">
        <is>
          <t>PROTOCOLO CAUTELAR  |  AGENDA SEMANAL E ROTA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J2" s="7" t="inlineStr">
        <is>
          <t>[ SUA LOGO / SEU NOME AQUI ]</t>
        </is>
      </c>
      <c r="K2" s="8" t="n"/>
      <c r="L2" s="8" t="n"/>
    </row>
    <row r="3">
      <c r="J3" s="8" t="n"/>
      <c r="K3" s="8" t="n"/>
      <c r="L3" s="8" t="n"/>
    </row>
    <row r="4">
      <c r="A4" s="18" t="inlineStr">
        <is>
          <t>Semana (data da 2ª-feira)</t>
        </is>
      </c>
      <c r="B4" s="19" t="n"/>
      <c r="C4" s="20" t="n">
        <v>46300</v>
      </c>
      <c r="D4" s="19" t="n"/>
      <c r="E4" s="18" t="inlineStr">
        <is>
          <t>Jornada disponível/dia (h)</t>
        </is>
      </c>
      <c r="F4" s="21" t="n">
        <v>8</v>
      </c>
    </row>
    <row r="6" ht="30" customHeight="1">
      <c r="A6" s="22" t="inlineStr">
        <is>
          <t>Dia</t>
        </is>
      </c>
      <c r="B6" s="22" t="inlineStr">
        <is>
          <t>Data</t>
        </is>
      </c>
      <c r="C6" s="22" t="inlineStr">
        <is>
          <t>Início</t>
        </is>
      </c>
      <c r="D6" s="22" t="inlineStr">
        <is>
          <t>Cliente / veículo</t>
        </is>
      </c>
      <c r="E6" s="22" t="inlineStr">
        <is>
          <t>Tipo</t>
        </is>
      </c>
      <c r="F6" s="22" t="inlineStr">
        <is>
          <t>Endereço / bairro</t>
        </is>
      </c>
      <c r="G6" s="22" t="inlineStr">
        <is>
          <t>Vistoria (min)</t>
        </is>
      </c>
      <c r="H6" s="22" t="inlineStr">
        <is>
          <t>Desloc. (min)</t>
        </is>
      </c>
      <c r="I6" s="22" t="inlineStr">
        <is>
          <t>Desloc. (km)</t>
        </is>
      </c>
      <c r="J6" s="22" t="inlineStr">
        <is>
          <t>Total (h:mm)</t>
        </is>
      </c>
      <c r="K6" s="22" t="inlineStr">
        <is>
          <t>Término previsto</t>
        </is>
      </c>
      <c r="L6" s="22" t="inlineStr">
        <is>
          <t>Obs.</t>
        </is>
      </c>
    </row>
    <row r="7">
      <c r="A7" s="23" t="inlineStr">
        <is>
          <t>Seg</t>
        </is>
      </c>
      <c r="B7" s="24">
        <f>$C$4+0</f>
        <v/>
      </c>
      <c r="C7" s="25" t="n">
        <v>0.3541666666666667</v>
      </c>
      <c r="D7" s="11" t="inlineStr">
        <is>
          <t>Cliente Ex. 1 — ABC1D23</t>
        </is>
      </c>
      <c r="E7" s="11" t="inlineStr">
        <is>
          <t>Completa</t>
        </is>
      </c>
      <c r="F7" s="11" t="inlineStr">
        <is>
          <t>Centro</t>
        </is>
      </c>
      <c r="G7" s="26" t="n">
        <v>150</v>
      </c>
      <c r="H7" s="26" t="n">
        <v>20</v>
      </c>
      <c r="I7" s="26" t="n">
        <v>8</v>
      </c>
      <c r="J7" s="27">
        <f>IF(N(G7)+N(H7)=0,"",(N(G7)+N(H7))/1440)</f>
        <v/>
      </c>
      <c r="K7" s="28">
        <f>IF(ISNUMBER(C7),C7+N(G7)/1440,"")</f>
        <v/>
      </c>
      <c r="L7" s="11" t="n"/>
    </row>
    <row r="8">
      <c r="A8" s="23" t="inlineStr">
        <is>
          <t>Seg</t>
        </is>
      </c>
      <c r="B8" s="29">
        <f>$C$4+0</f>
        <v/>
      </c>
      <c r="C8" s="25" t="n">
        <v>0.4791666666666667</v>
      </c>
      <c r="D8" s="11" t="inlineStr">
        <is>
          <t>Loja Exemplo A — 2 carros</t>
        </is>
      </c>
      <c r="E8" s="11" t="inlineStr">
        <is>
          <t>Básica</t>
        </is>
      </c>
      <c r="F8" s="11" t="inlineStr">
        <is>
          <t>Bairro Norte</t>
        </is>
      </c>
      <c r="G8" s="26" t="n">
        <v>120</v>
      </c>
      <c r="H8" s="26" t="n">
        <v>25</v>
      </c>
      <c r="I8" s="26" t="n">
        <v>12</v>
      </c>
      <c r="J8" s="30">
        <f>IF(N(G8)+N(H8)=0,"",(N(G8)+N(H8))/1440)</f>
        <v/>
      </c>
      <c r="K8" s="31">
        <f>IF(ISNUMBER(C8),C8+N(G8)/1440,"")</f>
        <v/>
      </c>
      <c r="L8" s="11" t="n"/>
    </row>
    <row r="9">
      <c r="A9" s="23" t="inlineStr">
        <is>
          <t>Seg</t>
        </is>
      </c>
      <c r="B9" s="24">
        <f>$C$4+0</f>
        <v/>
      </c>
      <c r="C9" s="25" t="n"/>
      <c r="D9" s="11" t="n"/>
      <c r="E9" s="11" t="n"/>
      <c r="F9" s="11" t="n"/>
      <c r="G9" s="26" t="n"/>
      <c r="H9" s="26" t="n"/>
      <c r="I9" s="26" t="n"/>
      <c r="J9" s="27">
        <f>IF(N(G9)+N(H9)=0,"",(N(G9)+N(H9))/1440)</f>
        <v/>
      </c>
      <c r="K9" s="28">
        <f>IF(ISNUMBER(C9),C9+N(G9)/1440,"")</f>
        <v/>
      </c>
      <c r="L9" s="11" t="n"/>
    </row>
    <row r="10">
      <c r="A10" s="23" t="inlineStr">
        <is>
          <t>Seg</t>
        </is>
      </c>
      <c r="B10" s="29">
        <f>$C$4+0</f>
        <v/>
      </c>
      <c r="C10" s="25" t="n"/>
      <c r="D10" s="11" t="n"/>
      <c r="E10" s="11" t="n"/>
      <c r="F10" s="11" t="n"/>
      <c r="G10" s="26" t="n"/>
      <c r="H10" s="26" t="n"/>
      <c r="I10" s="26" t="n"/>
      <c r="J10" s="30">
        <f>IF(N(G10)+N(H10)=0,"",(N(G10)+N(H10))/1440)</f>
        <v/>
      </c>
      <c r="K10" s="31">
        <f>IF(ISNUMBER(C10),C10+N(G10)/1440,"")</f>
        <v/>
      </c>
      <c r="L10" s="11" t="n"/>
    </row>
    <row r="11">
      <c r="A11" s="23" t="inlineStr">
        <is>
          <t>Seg</t>
        </is>
      </c>
      <c r="B11" s="24">
        <f>$C$4+0</f>
        <v/>
      </c>
      <c r="C11" s="25" t="n"/>
      <c r="D11" s="11" t="n"/>
      <c r="E11" s="11" t="n"/>
      <c r="F11" s="11" t="n"/>
      <c r="G11" s="26" t="n"/>
      <c r="H11" s="26" t="n"/>
      <c r="I11" s="26" t="n"/>
      <c r="J11" s="27">
        <f>IF(N(G11)+N(H11)=0,"",(N(G11)+N(H11))/1440)</f>
        <v/>
      </c>
      <c r="K11" s="28">
        <f>IF(ISNUMBER(C11),C11+N(G11)/1440,"")</f>
        <v/>
      </c>
      <c r="L11" s="11" t="n"/>
    </row>
    <row r="12">
      <c r="A12" s="23" t="inlineStr">
        <is>
          <t>Seg</t>
        </is>
      </c>
      <c r="B12" s="29">
        <f>$C$4+0</f>
        <v/>
      </c>
      <c r="C12" s="25" t="n"/>
      <c r="D12" s="11" t="n"/>
      <c r="E12" s="11" t="n"/>
      <c r="F12" s="11" t="n"/>
      <c r="G12" s="26" t="n"/>
      <c r="H12" s="26" t="n"/>
      <c r="I12" s="26" t="n"/>
      <c r="J12" s="30">
        <f>IF(N(G12)+N(H12)=0,"",(N(G12)+N(H12))/1440)</f>
        <v/>
      </c>
      <c r="K12" s="31">
        <f>IF(ISNUMBER(C12),C12+N(G12)/1440,"")</f>
        <v/>
      </c>
      <c r="L12" s="11" t="n"/>
    </row>
    <row r="13">
      <c r="A13" s="32" t="inlineStr">
        <is>
          <t>Total Seg</t>
        </is>
      </c>
      <c r="B13" s="33" t="n"/>
      <c r="C13" s="33" t="n"/>
      <c r="D13" s="33" t="n"/>
      <c r="E13" s="33" t="n"/>
      <c r="F13" s="33" t="n"/>
      <c r="G13" s="34">
        <f>SUM(G7:G12)</f>
        <v/>
      </c>
      <c r="H13" s="34">
        <f>SUM(H7:H12)</f>
        <v/>
      </c>
      <c r="I13" s="34">
        <f>SUM(I7:I12)</f>
        <v/>
      </c>
      <c r="J13" s="35">
        <f>SUM(J7:J12)</f>
        <v/>
      </c>
      <c r="K13" s="36">
        <f>IF(J13*24&gt;$F$4,"Acima da jornada","")</f>
        <v/>
      </c>
      <c r="L13" s="33" t="n"/>
    </row>
    <row r="14">
      <c r="A14" s="23" t="inlineStr">
        <is>
          <t>Ter</t>
        </is>
      </c>
      <c r="B14" s="24">
        <f>$C$4+1</f>
        <v/>
      </c>
      <c r="C14" s="25" t="n">
        <v>0.375</v>
      </c>
      <c r="D14" s="11" t="inlineStr">
        <is>
          <t>Cliente Ex. 2 — XXX0X00</t>
        </is>
      </c>
      <c r="E14" s="11" t="inlineStr">
        <is>
          <t>Intermediária</t>
        </is>
      </c>
      <c r="F14" s="11" t="inlineStr">
        <is>
          <t>Bairro Sul</t>
        </is>
      </c>
      <c r="G14" s="26" t="n">
        <v>90</v>
      </c>
      <c r="H14" s="26" t="n">
        <v>30</v>
      </c>
      <c r="I14" s="26" t="n">
        <v>15</v>
      </c>
      <c r="J14" s="27">
        <f>IF(N(G14)+N(H14)=0,"",(N(G14)+N(H14))/1440)</f>
        <v/>
      </c>
      <c r="K14" s="28">
        <f>IF(ISNUMBER(C14),C14+N(G14)/1440,"")</f>
        <v/>
      </c>
      <c r="L14" s="11" t="n"/>
    </row>
    <row r="15">
      <c r="A15" s="23" t="inlineStr">
        <is>
          <t>Ter</t>
        </is>
      </c>
      <c r="B15" s="29">
        <f>$C$4+1</f>
        <v/>
      </c>
      <c r="C15" s="25" t="n"/>
      <c r="D15" s="11" t="n"/>
      <c r="E15" s="11" t="n"/>
      <c r="F15" s="11" t="n"/>
      <c r="G15" s="26" t="n"/>
      <c r="H15" s="26" t="n"/>
      <c r="I15" s="26" t="n"/>
      <c r="J15" s="30">
        <f>IF(N(G15)+N(H15)=0,"",(N(G15)+N(H15))/1440)</f>
        <v/>
      </c>
      <c r="K15" s="31">
        <f>IF(ISNUMBER(C15),C15+N(G15)/1440,"")</f>
        <v/>
      </c>
      <c r="L15" s="11" t="n"/>
    </row>
    <row r="16">
      <c r="A16" s="23" t="inlineStr">
        <is>
          <t>Ter</t>
        </is>
      </c>
      <c r="B16" s="24">
        <f>$C$4+1</f>
        <v/>
      </c>
      <c r="C16" s="25" t="n"/>
      <c r="D16" s="11" t="n"/>
      <c r="E16" s="11" t="n"/>
      <c r="F16" s="11" t="n"/>
      <c r="G16" s="26" t="n"/>
      <c r="H16" s="26" t="n"/>
      <c r="I16" s="26" t="n"/>
      <c r="J16" s="27">
        <f>IF(N(G16)+N(H16)=0,"",(N(G16)+N(H16))/1440)</f>
        <v/>
      </c>
      <c r="K16" s="28">
        <f>IF(ISNUMBER(C16),C16+N(G16)/1440,"")</f>
        <v/>
      </c>
      <c r="L16" s="11" t="n"/>
    </row>
    <row r="17">
      <c r="A17" s="23" t="inlineStr">
        <is>
          <t>Ter</t>
        </is>
      </c>
      <c r="B17" s="29">
        <f>$C$4+1</f>
        <v/>
      </c>
      <c r="C17" s="25" t="n"/>
      <c r="D17" s="11" t="n"/>
      <c r="E17" s="11" t="n"/>
      <c r="F17" s="11" t="n"/>
      <c r="G17" s="26" t="n"/>
      <c r="H17" s="26" t="n"/>
      <c r="I17" s="26" t="n"/>
      <c r="J17" s="30">
        <f>IF(N(G17)+N(H17)=0,"",(N(G17)+N(H17))/1440)</f>
        <v/>
      </c>
      <c r="K17" s="31">
        <f>IF(ISNUMBER(C17),C17+N(G17)/1440,"")</f>
        <v/>
      </c>
      <c r="L17" s="11" t="n"/>
    </row>
    <row r="18">
      <c r="A18" s="23" t="inlineStr">
        <is>
          <t>Ter</t>
        </is>
      </c>
      <c r="B18" s="24">
        <f>$C$4+1</f>
        <v/>
      </c>
      <c r="C18" s="25" t="n"/>
      <c r="D18" s="11" t="n"/>
      <c r="E18" s="11" t="n"/>
      <c r="F18" s="11" t="n"/>
      <c r="G18" s="26" t="n"/>
      <c r="H18" s="26" t="n"/>
      <c r="I18" s="26" t="n"/>
      <c r="J18" s="27">
        <f>IF(N(G18)+N(H18)=0,"",(N(G18)+N(H18))/1440)</f>
        <v/>
      </c>
      <c r="K18" s="28">
        <f>IF(ISNUMBER(C18),C18+N(G18)/1440,"")</f>
        <v/>
      </c>
      <c r="L18" s="11" t="n"/>
    </row>
    <row r="19">
      <c r="A19" s="23" t="inlineStr">
        <is>
          <t>Ter</t>
        </is>
      </c>
      <c r="B19" s="29">
        <f>$C$4+1</f>
        <v/>
      </c>
      <c r="C19" s="25" t="n"/>
      <c r="D19" s="11" t="n"/>
      <c r="E19" s="11" t="n"/>
      <c r="F19" s="11" t="n"/>
      <c r="G19" s="26" t="n"/>
      <c r="H19" s="26" t="n"/>
      <c r="I19" s="26" t="n"/>
      <c r="J19" s="30">
        <f>IF(N(G19)+N(H19)=0,"",(N(G19)+N(H19))/1440)</f>
        <v/>
      </c>
      <c r="K19" s="31">
        <f>IF(ISNUMBER(C19),C19+N(G19)/1440,"")</f>
        <v/>
      </c>
      <c r="L19" s="11" t="n"/>
    </row>
    <row r="20">
      <c r="A20" s="32" t="inlineStr">
        <is>
          <t>Total Ter</t>
        </is>
      </c>
      <c r="B20" s="33" t="n"/>
      <c r="C20" s="33" t="n"/>
      <c r="D20" s="33" t="n"/>
      <c r="E20" s="33" t="n"/>
      <c r="F20" s="33" t="n"/>
      <c r="G20" s="34">
        <f>SUM(G14:G19)</f>
        <v/>
      </c>
      <c r="H20" s="34">
        <f>SUM(H14:H19)</f>
        <v/>
      </c>
      <c r="I20" s="34">
        <f>SUM(I14:I19)</f>
        <v/>
      </c>
      <c r="J20" s="35">
        <f>SUM(J14:J19)</f>
        <v/>
      </c>
      <c r="K20" s="36">
        <f>IF(J20*24&gt;$F$4,"Acima da jornada","")</f>
        <v/>
      </c>
      <c r="L20" s="33" t="n"/>
    </row>
    <row r="21">
      <c r="A21" s="23" t="inlineStr">
        <is>
          <t>Qua</t>
        </is>
      </c>
      <c r="B21" s="24">
        <f>$C$4+2</f>
        <v/>
      </c>
      <c r="C21" s="25" t="n"/>
      <c r="D21" s="11" t="n"/>
      <c r="E21" s="11" t="n"/>
      <c r="F21" s="11" t="n"/>
      <c r="G21" s="26" t="n"/>
      <c r="H21" s="26" t="n"/>
      <c r="I21" s="26" t="n"/>
      <c r="J21" s="27">
        <f>IF(N(G21)+N(H21)=0,"",(N(G21)+N(H21))/1440)</f>
        <v/>
      </c>
      <c r="K21" s="28">
        <f>IF(ISNUMBER(C21),C21+N(G21)/1440,"")</f>
        <v/>
      </c>
      <c r="L21" s="11" t="n"/>
    </row>
    <row r="22">
      <c r="A22" s="23" t="inlineStr">
        <is>
          <t>Qua</t>
        </is>
      </c>
      <c r="B22" s="29">
        <f>$C$4+2</f>
        <v/>
      </c>
      <c r="C22" s="25" t="n"/>
      <c r="D22" s="11" t="n"/>
      <c r="E22" s="11" t="n"/>
      <c r="F22" s="11" t="n"/>
      <c r="G22" s="26" t="n"/>
      <c r="H22" s="26" t="n"/>
      <c r="I22" s="26" t="n"/>
      <c r="J22" s="30">
        <f>IF(N(G22)+N(H22)=0,"",(N(G22)+N(H22))/1440)</f>
        <v/>
      </c>
      <c r="K22" s="31">
        <f>IF(ISNUMBER(C22),C22+N(G22)/1440,"")</f>
        <v/>
      </c>
      <c r="L22" s="11" t="n"/>
    </row>
    <row r="23">
      <c r="A23" s="23" t="inlineStr">
        <is>
          <t>Qua</t>
        </is>
      </c>
      <c r="B23" s="24">
        <f>$C$4+2</f>
        <v/>
      </c>
      <c r="C23" s="25" t="n"/>
      <c r="D23" s="11" t="n"/>
      <c r="E23" s="11" t="n"/>
      <c r="F23" s="11" t="n"/>
      <c r="G23" s="26" t="n"/>
      <c r="H23" s="26" t="n"/>
      <c r="I23" s="26" t="n"/>
      <c r="J23" s="27">
        <f>IF(N(G23)+N(H23)=0,"",(N(G23)+N(H23))/1440)</f>
        <v/>
      </c>
      <c r="K23" s="28">
        <f>IF(ISNUMBER(C23),C23+N(G23)/1440,"")</f>
        <v/>
      </c>
      <c r="L23" s="11" t="n"/>
    </row>
    <row r="24">
      <c r="A24" s="23" t="inlineStr">
        <is>
          <t>Qua</t>
        </is>
      </c>
      <c r="B24" s="29">
        <f>$C$4+2</f>
        <v/>
      </c>
      <c r="C24" s="25" t="n"/>
      <c r="D24" s="11" t="n"/>
      <c r="E24" s="11" t="n"/>
      <c r="F24" s="11" t="n"/>
      <c r="G24" s="26" t="n"/>
      <c r="H24" s="26" t="n"/>
      <c r="I24" s="26" t="n"/>
      <c r="J24" s="30">
        <f>IF(N(G24)+N(H24)=0,"",(N(G24)+N(H24))/1440)</f>
        <v/>
      </c>
      <c r="K24" s="31">
        <f>IF(ISNUMBER(C24),C24+N(G24)/1440,"")</f>
        <v/>
      </c>
      <c r="L24" s="11" t="n"/>
    </row>
    <row r="25">
      <c r="A25" s="23" t="inlineStr">
        <is>
          <t>Qua</t>
        </is>
      </c>
      <c r="B25" s="24">
        <f>$C$4+2</f>
        <v/>
      </c>
      <c r="C25" s="25" t="n"/>
      <c r="D25" s="11" t="n"/>
      <c r="E25" s="11" t="n"/>
      <c r="F25" s="11" t="n"/>
      <c r="G25" s="26" t="n"/>
      <c r="H25" s="26" t="n"/>
      <c r="I25" s="26" t="n"/>
      <c r="J25" s="27">
        <f>IF(N(G25)+N(H25)=0,"",(N(G25)+N(H25))/1440)</f>
        <v/>
      </c>
      <c r="K25" s="28">
        <f>IF(ISNUMBER(C25),C25+N(G25)/1440,"")</f>
        <v/>
      </c>
      <c r="L25" s="11" t="n"/>
    </row>
    <row r="26">
      <c r="A26" s="23" t="inlineStr">
        <is>
          <t>Qua</t>
        </is>
      </c>
      <c r="B26" s="29">
        <f>$C$4+2</f>
        <v/>
      </c>
      <c r="C26" s="25" t="n"/>
      <c r="D26" s="11" t="n"/>
      <c r="E26" s="11" t="n"/>
      <c r="F26" s="11" t="n"/>
      <c r="G26" s="26" t="n"/>
      <c r="H26" s="26" t="n"/>
      <c r="I26" s="26" t="n"/>
      <c r="J26" s="30">
        <f>IF(N(G26)+N(H26)=0,"",(N(G26)+N(H26))/1440)</f>
        <v/>
      </c>
      <c r="K26" s="31">
        <f>IF(ISNUMBER(C26),C26+N(G26)/1440,"")</f>
        <v/>
      </c>
      <c r="L26" s="11" t="n"/>
    </row>
    <row r="27">
      <c r="A27" s="32" t="inlineStr">
        <is>
          <t>Total Qua</t>
        </is>
      </c>
      <c r="B27" s="33" t="n"/>
      <c r="C27" s="33" t="n"/>
      <c r="D27" s="33" t="n"/>
      <c r="E27" s="33" t="n"/>
      <c r="F27" s="33" t="n"/>
      <c r="G27" s="34">
        <f>SUM(G21:G26)</f>
        <v/>
      </c>
      <c r="H27" s="34">
        <f>SUM(H21:H26)</f>
        <v/>
      </c>
      <c r="I27" s="34">
        <f>SUM(I21:I26)</f>
        <v/>
      </c>
      <c r="J27" s="35">
        <f>SUM(J21:J26)</f>
        <v/>
      </c>
      <c r="K27" s="36">
        <f>IF(J27*24&gt;$F$4,"Acima da jornada","")</f>
        <v/>
      </c>
      <c r="L27" s="33" t="n"/>
    </row>
    <row r="28">
      <c r="A28" s="23" t="inlineStr">
        <is>
          <t>Qui</t>
        </is>
      </c>
      <c r="B28" s="24">
        <f>$C$4+3</f>
        <v/>
      </c>
      <c r="C28" s="25" t="n">
        <v>0.5833333333333334</v>
      </c>
      <c r="D28" s="11" t="inlineStr">
        <is>
          <t>Cliente Ex. 3 — moto</t>
        </is>
      </c>
      <c r="E28" s="11" t="inlineStr">
        <is>
          <t>Moto</t>
        </is>
      </c>
      <c r="F28" s="11" t="inlineStr">
        <is>
          <t>Centro</t>
        </is>
      </c>
      <c r="G28" s="26" t="n">
        <v>60</v>
      </c>
      <c r="H28" s="26" t="n">
        <v>15</v>
      </c>
      <c r="I28" s="26" t="n">
        <v>6</v>
      </c>
      <c r="J28" s="27">
        <f>IF(N(G28)+N(H28)=0,"",(N(G28)+N(H28))/1440)</f>
        <v/>
      </c>
      <c r="K28" s="28">
        <f>IF(ISNUMBER(C28),C28+N(G28)/1440,"")</f>
        <v/>
      </c>
      <c r="L28" s="11" t="n"/>
    </row>
    <row r="29">
      <c r="A29" s="23" t="inlineStr">
        <is>
          <t>Qui</t>
        </is>
      </c>
      <c r="B29" s="29">
        <f>$C$4+3</f>
        <v/>
      </c>
      <c r="C29" s="25" t="n"/>
      <c r="D29" s="11" t="n"/>
      <c r="E29" s="11" t="n"/>
      <c r="F29" s="11" t="n"/>
      <c r="G29" s="26" t="n"/>
      <c r="H29" s="26" t="n"/>
      <c r="I29" s="26" t="n"/>
      <c r="J29" s="30">
        <f>IF(N(G29)+N(H29)=0,"",(N(G29)+N(H29))/1440)</f>
        <v/>
      </c>
      <c r="K29" s="31">
        <f>IF(ISNUMBER(C29),C29+N(G29)/1440,"")</f>
        <v/>
      </c>
      <c r="L29" s="11" t="n"/>
    </row>
    <row r="30">
      <c r="A30" s="23" t="inlineStr">
        <is>
          <t>Qui</t>
        </is>
      </c>
      <c r="B30" s="24">
        <f>$C$4+3</f>
        <v/>
      </c>
      <c r="C30" s="25" t="n"/>
      <c r="D30" s="11" t="n"/>
      <c r="E30" s="11" t="n"/>
      <c r="F30" s="11" t="n"/>
      <c r="G30" s="26" t="n"/>
      <c r="H30" s="26" t="n"/>
      <c r="I30" s="26" t="n"/>
      <c r="J30" s="27">
        <f>IF(N(G30)+N(H30)=0,"",(N(G30)+N(H30))/1440)</f>
        <v/>
      </c>
      <c r="K30" s="28">
        <f>IF(ISNUMBER(C30),C30+N(G30)/1440,"")</f>
        <v/>
      </c>
      <c r="L30" s="11" t="n"/>
    </row>
    <row r="31">
      <c r="A31" s="23" t="inlineStr">
        <is>
          <t>Qui</t>
        </is>
      </c>
      <c r="B31" s="29">
        <f>$C$4+3</f>
        <v/>
      </c>
      <c r="C31" s="25" t="n"/>
      <c r="D31" s="11" t="n"/>
      <c r="E31" s="11" t="n"/>
      <c r="F31" s="11" t="n"/>
      <c r="G31" s="26" t="n"/>
      <c r="H31" s="26" t="n"/>
      <c r="I31" s="26" t="n"/>
      <c r="J31" s="30">
        <f>IF(N(G31)+N(H31)=0,"",(N(G31)+N(H31))/1440)</f>
        <v/>
      </c>
      <c r="K31" s="31">
        <f>IF(ISNUMBER(C31),C31+N(G31)/1440,"")</f>
        <v/>
      </c>
      <c r="L31" s="11" t="n"/>
    </row>
    <row r="32">
      <c r="A32" s="23" t="inlineStr">
        <is>
          <t>Qui</t>
        </is>
      </c>
      <c r="B32" s="24">
        <f>$C$4+3</f>
        <v/>
      </c>
      <c r="C32" s="25" t="n"/>
      <c r="D32" s="11" t="n"/>
      <c r="E32" s="11" t="n"/>
      <c r="F32" s="11" t="n"/>
      <c r="G32" s="26" t="n"/>
      <c r="H32" s="26" t="n"/>
      <c r="I32" s="26" t="n"/>
      <c r="J32" s="27">
        <f>IF(N(G32)+N(H32)=0,"",(N(G32)+N(H32))/1440)</f>
        <v/>
      </c>
      <c r="K32" s="28">
        <f>IF(ISNUMBER(C32),C32+N(G32)/1440,"")</f>
        <v/>
      </c>
      <c r="L32" s="11" t="n"/>
    </row>
    <row r="33">
      <c r="A33" s="23" t="inlineStr">
        <is>
          <t>Qui</t>
        </is>
      </c>
      <c r="B33" s="29">
        <f>$C$4+3</f>
        <v/>
      </c>
      <c r="C33" s="25" t="n"/>
      <c r="D33" s="11" t="n"/>
      <c r="E33" s="11" t="n"/>
      <c r="F33" s="11" t="n"/>
      <c r="G33" s="26" t="n"/>
      <c r="H33" s="26" t="n"/>
      <c r="I33" s="26" t="n"/>
      <c r="J33" s="30">
        <f>IF(N(G33)+N(H33)=0,"",(N(G33)+N(H33))/1440)</f>
        <v/>
      </c>
      <c r="K33" s="31">
        <f>IF(ISNUMBER(C33),C33+N(G33)/1440,"")</f>
        <v/>
      </c>
      <c r="L33" s="11" t="n"/>
    </row>
    <row r="34">
      <c r="A34" s="32" t="inlineStr">
        <is>
          <t>Total Qui</t>
        </is>
      </c>
      <c r="B34" s="33" t="n"/>
      <c r="C34" s="33" t="n"/>
      <c r="D34" s="33" t="n"/>
      <c r="E34" s="33" t="n"/>
      <c r="F34" s="33" t="n"/>
      <c r="G34" s="34">
        <f>SUM(G28:G33)</f>
        <v/>
      </c>
      <c r="H34" s="34">
        <f>SUM(H28:H33)</f>
        <v/>
      </c>
      <c r="I34" s="34">
        <f>SUM(I28:I33)</f>
        <v/>
      </c>
      <c r="J34" s="35">
        <f>SUM(J28:J33)</f>
        <v/>
      </c>
      <c r="K34" s="36">
        <f>IF(J34*24&gt;$F$4,"Acima da jornada","")</f>
        <v/>
      </c>
      <c r="L34" s="33" t="n"/>
    </row>
    <row r="35">
      <c r="A35" s="23" t="inlineStr">
        <is>
          <t>Sex</t>
        </is>
      </c>
      <c r="B35" s="24">
        <f>$C$4+4</f>
        <v/>
      </c>
      <c r="C35" s="25" t="n"/>
      <c r="D35" s="11" t="n"/>
      <c r="E35" s="11" t="n"/>
      <c r="F35" s="11" t="n"/>
      <c r="G35" s="26" t="n"/>
      <c r="H35" s="26" t="n"/>
      <c r="I35" s="26" t="n"/>
      <c r="J35" s="27">
        <f>IF(N(G35)+N(H35)=0,"",(N(G35)+N(H35))/1440)</f>
        <v/>
      </c>
      <c r="K35" s="28">
        <f>IF(ISNUMBER(C35),C35+N(G35)/1440,"")</f>
        <v/>
      </c>
      <c r="L35" s="11" t="n"/>
    </row>
    <row r="36">
      <c r="A36" s="23" t="inlineStr">
        <is>
          <t>Sex</t>
        </is>
      </c>
      <c r="B36" s="29">
        <f>$C$4+4</f>
        <v/>
      </c>
      <c r="C36" s="25" t="n"/>
      <c r="D36" s="11" t="n"/>
      <c r="E36" s="11" t="n"/>
      <c r="F36" s="11" t="n"/>
      <c r="G36" s="26" t="n"/>
      <c r="H36" s="26" t="n"/>
      <c r="I36" s="26" t="n"/>
      <c r="J36" s="30">
        <f>IF(N(G36)+N(H36)=0,"",(N(G36)+N(H36))/1440)</f>
        <v/>
      </c>
      <c r="K36" s="31">
        <f>IF(ISNUMBER(C36),C36+N(G36)/1440,"")</f>
        <v/>
      </c>
      <c r="L36" s="11" t="n"/>
    </row>
    <row r="37">
      <c r="A37" s="23" t="inlineStr">
        <is>
          <t>Sex</t>
        </is>
      </c>
      <c r="B37" s="24">
        <f>$C$4+4</f>
        <v/>
      </c>
      <c r="C37" s="25" t="n"/>
      <c r="D37" s="11" t="n"/>
      <c r="E37" s="11" t="n"/>
      <c r="F37" s="11" t="n"/>
      <c r="G37" s="26" t="n"/>
      <c r="H37" s="26" t="n"/>
      <c r="I37" s="26" t="n"/>
      <c r="J37" s="27">
        <f>IF(N(G37)+N(H37)=0,"",(N(G37)+N(H37))/1440)</f>
        <v/>
      </c>
      <c r="K37" s="28">
        <f>IF(ISNUMBER(C37),C37+N(G37)/1440,"")</f>
        <v/>
      </c>
      <c r="L37" s="11" t="n"/>
    </row>
    <row r="38">
      <c r="A38" s="23" t="inlineStr">
        <is>
          <t>Sex</t>
        </is>
      </c>
      <c r="B38" s="29">
        <f>$C$4+4</f>
        <v/>
      </c>
      <c r="C38" s="25" t="n"/>
      <c r="D38" s="11" t="n"/>
      <c r="E38" s="11" t="n"/>
      <c r="F38" s="11" t="n"/>
      <c r="G38" s="26" t="n"/>
      <c r="H38" s="26" t="n"/>
      <c r="I38" s="26" t="n"/>
      <c r="J38" s="30">
        <f>IF(N(G38)+N(H38)=0,"",(N(G38)+N(H38))/1440)</f>
        <v/>
      </c>
      <c r="K38" s="31">
        <f>IF(ISNUMBER(C38),C38+N(G38)/1440,"")</f>
        <v/>
      </c>
      <c r="L38" s="11" t="n"/>
    </row>
    <row r="39">
      <c r="A39" s="23" t="inlineStr">
        <is>
          <t>Sex</t>
        </is>
      </c>
      <c r="B39" s="24">
        <f>$C$4+4</f>
        <v/>
      </c>
      <c r="C39" s="25" t="n"/>
      <c r="D39" s="11" t="n"/>
      <c r="E39" s="11" t="n"/>
      <c r="F39" s="11" t="n"/>
      <c r="G39" s="26" t="n"/>
      <c r="H39" s="26" t="n"/>
      <c r="I39" s="26" t="n"/>
      <c r="J39" s="27">
        <f>IF(N(G39)+N(H39)=0,"",(N(G39)+N(H39))/1440)</f>
        <v/>
      </c>
      <c r="K39" s="28">
        <f>IF(ISNUMBER(C39),C39+N(G39)/1440,"")</f>
        <v/>
      </c>
      <c r="L39" s="11" t="n"/>
    </row>
    <row r="40">
      <c r="A40" s="23" t="inlineStr">
        <is>
          <t>Sex</t>
        </is>
      </c>
      <c r="B40" s="29">
        <f>$C$4+4</f>
        <v/>
      </c>
      <c r="C40" s="25" t="n"/>
      <c r="D40" s="11" t="n"/>
      <c r="E40" s="11" t="n"/>
      <c r="F40" s="11" t="n"/>
      <c r="G40" s="26" t="n"/>
      <c r="H40" s="26" t="n"/>
      <c r="I40" s="26" t="n"/>
      <c r="J40" s="30">
        <f>IF(N(G40)+N(H40)=0,"",(N(G40)+N(H40))/1440)</f>
        <v/>
      </c>
      <c r="K40" s="31">
        <f>IF(ISNUMBER(C40),C40+N(G40)/1440,"")</f>
        <v/>
      </c>
      <c r="L40" s="11" t="n"/>
    </row>
    <row r="41">
      <c r="A41" s="32" t="inlineStr">
        <is>
          <t>Total Sex</t>
        </is>
      </c>
      <c r="B41" s="33" t="n"/>
      <c r="C41" s="33" t="n"/>
      <c r="D41" s="33" t="n"/>
      <c r="E41" s="33" t="n"/>
      <c r="F41" s="33" t="n"/>
      <c r="G41" s="34">
        <f>SUM(G35:G40)</f>
        <v/>
      </c>
      <c r="H41" s="34">
        <f>SUM(H35:H40)</f>
        <v/>
      </c>
      <c r="I41" s="34">
        <f>SUM(I35:I40)</f>
        <v/>
      </c>
      <c r="J41" s="35">
        <f>SUM(J35:J40)</f>
        <v/>
      </c>
      <c r="K41" s="36">
        <f>IF(J41*24&gt;$F$4,"Acima da jornada","")</f>
        <v/>
      </c>
      <c r="L41" s="33" t="n"/>
    </row>
    <row r="42">
      <c r="A42" s="23" t="inlineStr">
        <is>
          <t>Sáb</t>
        </is>
      </c>
      <c r="B42" s="24">
        <f>$C$4+5</f>
        <v/>
      </c>
      <c r="C42" s="25" t="n"/>
      <c r="D42" s="11" t="n"/>
      <c r="E42" s="11" t="n"/>
      <c r="F42" s="11" t="n"/>
      <c r="G42" s="26" t="n"/>
      <c r="H42" s="26" t="n"/>
      <c r="I42" s="26" t="n"/>
      <c r="J42" s="27">
        <f>IF(N(G42)+N(H42)=0,"",(N(G42)+N(H42))/1440)</f>
        <v/>
      </c>
      <c r="K42" s="28">
        <f>IF(ISNUMBER(C42),C42+N(G42)/1440,"")</f>
        <v/>
      </c>
      <c r="L42" s="11" t="n"/>
    </row>
    <row r="43">
      <c r="A43" s="23" t="inlineStr">
        <is>
          <t>Sáb</t>
        </is>
      </c>
      <c r="B43" s="29">
        <f>$C$4+5</f>
        <v/>
      </c>
      <c r="C43" s="25" t="n"/>
      <c r="D43" s="11" t="n"/>
      <c r="E43" s="11" t="n"/>
      <c r="F43" s="11" t="n"/>
      <c r="G43" s="26" t="n"/>
      <c r="H43" s="26" t="n"/>
      <c r="I43" s="26" t="n"/>
      <c r="J43" s="30">
        <f>IF(N(G43)+N(H43)=0,"",(N(G43)+N(H43))/1440)</f>
        <v/>
      </c>
      <c r="K43" s="31">
        <f>IF(ISNUMBER(C43),C43+N(G43)/1440,"")</f>
        <v/>
      </c>
      <c r="L43" s="11" t="n"/>
    </row>
    <row r="44">
      <c r="A44" s="23" t="inlineStr">
        <is>
          <t>Sáb</t>
        </is>
      </c>
      <c r="B44" s="24">
        <f>$C$4+5</f>
        <v/>
      </c>
      <c r="C44" s="25" t="n"/>
      <c r="D44" s="11" t="n"/>
      <c r="E44" s="11" t="n"/>
      <c r="F44" s="11" t="n"/>
      <c r="G44" s="26" t="n"/>
      <c r="H44" s="26" t="n"/>
      <c r="I44" s="26" t="n"/>
      <c r="J44" s="27">
        <f>IF(N(G44)+N(H44)=0,"",(N(G44)+N(H44))/1440)</f>
        <v/>
      </c>
      <c r="K44" s="28">
        <f>IF(ISNUMBER(C44),C44+N(G44)/1440,"")</f>
        <v/>
      </c>
      <c r="L44" s="11" t="n"/>
    </row>
    <row r="45">
      <c r="A45" s="23" t="inlineStr">
        <is>
          <t>Sáb</t>
        </is>
      </c>
      <c r="B45" s="29">
        <f>$C$4+5</f>
        <v/>
      </c>
      <c r="C45" s="25" t="n"/>
      <c r="D45" s="11" t="n"/>
      <c r="E45" s="11" t="n"/>
      <c r="F45" s="11" t="n"/>
      <c r="G45" s="26" t="n"/>
      <c r="H45" s="26" t="n"/>
      <c r="I45" s="26" t="n"/>
      <c r="J45" s="30">
        <f>IF(N(G45)+N(H45)=0,"",(N(G45)+N(H45))/1440)</f>
        <v/>
      </c>
      <c r="K45" s="31">
        <f>IF(ISNUMBER(C45),C45+N(G45)/1440,"")</f>
        <v/>
      </c>
      <c r="L45" s="11" t="n"/>
    </row>
    <row r="46">
      <c r="A46" s="23" t="inlineStr">
        <is>
          <t>Sáb</t>
        </is>
      </c>
      <c r="B46" s="24">
        <f>$C$4+5</f>
        <v/>
      </c>
      <c r="C46" s="25" t="n"/>
      <c r="D46" s="11" t="n"/>
      <c r="E46" s="11" t="n"/>
      <c r="F46" s="11" t="n"/>
      <c r="G46" s="26" t="n"/>
      <c r="H46" s="26" t="n"/>
      <c r="I46" s="26" t="n"/>
      <c r="J46" s="27">
        <f>IF(N(G46)+N(H46)=0,"",(N(G46)+N(H46))/1440)</f>
        <v/>
      </c>
      <c r="K46" s="28">
        <f>IF(ISNUMBER(C46),C46+N(G46)/1440,"")</f>
        <v/>
      </c>
      <c r="L46" s="11" t="n"/>
    </row>
    <row r="47">
      <c r="A47" s="23" t="inlineStr">
        <is>
          <t>Sáb</t>
        </is>
      </c>
      <c r="B47" s="29">
        <f>$C$4+5</f>
        <v/>
      </c>
      <c r="C47" s="25" t="n"/>
      <c r="D47" s="11" t="n"/>
      <c r="E47" s="11" t="n"/>
      <c r="F47" s="11" t="n"/>
      <c r="G47" s="26" t="n"/>
      <c r="H47" s="26" t="n"/>
      <c r="I47" s="26" t="n"/>
      <c r="J47" s="30">
        <f>IF(N(G47)+N(H47)=0,"",(N(G47)+N(H47))/1440)</f>
        <v/>
      </c>
      <c r="K47" s="31">
        <f>IF(ISNUMBER(C47),C47+N(G47)/1440,"")</f>
        <v/>
      </c>
      <c r="L47" s="11" t="n"/>
    </row>
    <row r="48">
      <c r="A48" s="32" t="inlineStr">
        <is>
          <t>Total Sáb</t>
        </is>
      </c>
      <c r="B48" s="33" t="n"/>
      <c r="C48" s="33" t="n"/>
      <c r="D48" s="33" t="n"/>
      <c r="E48" s="33" t="n"/>
      <c r="F48" s="33" t="n"/>
      <c r="G48" s="34">
        <f>SUM(G42:G47)</f>
        <v/>
      </c>
      <c r="H48" s="34">
        <f>SUM(H42:H47)</f>
        <v/>
      </c>
      <c r="I48" s="34">
        <f>SUM(I42:I47)</f>
        <v/>
      </c>
      <c r="J48" s="35">
        <f>SUM(J42:J47)</f>
        <v/>
      </c>
      <c r="K48" s="36">
        <f>IF(J48*24&gt;$F$4,"Acima da jornada","")</f>
        <v/>
      </c>
      <c r="L48" s="33" t="n"/>
    </row>
    <row r="50" ht="22" customHeight="1">
      <c r="A50" s="22" t="inlineStr">
        <is>
          <t>TOTAL DA SEMANA</t>
        </is>
      </c>
      <c r="B50" s="37" t="n"/>
      <c r="C50" s="37" t="n"/>
      <c r="D50" s="37" t="n"/>
      <c r="E50" s="37" t="n"/>
      <c r="F50" s="19" t="n"/>
      <c r="G50" s="22" t="inlineStr">
        <is>
          <t>Vistoria (min)</t>
        </is>
      </c>
      <c r="H50" s="22" t="inlineStr">
        <is>
          <t>Desloc. (min)</t>
        </is>
      </c>
      <c r="I50" s="22" t="inlineStr">
        <is>
          <t>Desloc. (km)</t>
        </is>
      </c>
      <c r="J50" s="22" t="inlineStr">
        <is>
          <t>Total (h:mm)</t>
        </is>
      </c>
      <c r="K50" s="22" t="inlineStr">
        <is>
          <t>Nº vistorias</t>
        </is>
      </c>
      <c r="L50" s="22" t="inlineStr"/>
    </row>
    <row r="51">
      <c r="A51" s="18" t="inlineStr">
        <is>
          <t>Somatório</t>
        </is>
      </c>
      <c r="B51" s="37" t="n"/>
      <c r="C51" s="37" t="n"/>
      <c r="D51" s="37" t="n"/>
      <c r="E51" s="37" t="n"/>
      <c r="F51" s="19" t="n"/>
      <c r="G51" s="38">
        <f>G13+G20+G27+G34+G41+G48</f>
        <v/>
      </c>
      <c r="H51" s="38">
        <f>H13+H20+H27+H34+H41+H48</f>
        <v/>
      </c>
      <c r="I51" s="38">
        <f>I13+I20+I27+I34+I41+I48</f>
        <v/>
      </c>
      <c r="J51" s="39">
        <f>J13+J20+J27+J34+J41+J48</f>
        <v/>
      </c>
      <c r="K51" s="40">
        <f>COUNTIF(D7:D48,"?*")</f>
        <v/>
      </c>
    </row>
    <row r="52">
      <c r="A52" s="18" t="inlineStr">
        <is>
          <t>Horas totais (decimal) / % do tempo em deslocamento</t>
        </is>
      </c>
      <c r="B52" s="37" t="n"/>
      <c r="C52" s="37" t="n"/>
      <c r="D52" s="37" t="n"/>
      <c r="E52" s="37" t="n"/>
      <c r="F52" s="19" t="n"/>
      <c r="J52" s="41">
        <f>J51*24</f>
        <v/>
      </c>
      <c r="K52" s="42">
        <f>IF(J51=0,0,H51/(G51+H51))</f>
        <v/>
      </c>
    </row>
    <row r="54" ht="30" customHeight="1">
      <c r="A54" s="43" t="inlineStr">
        <is>
          <t>Tempo estimado inclui a vistoria no pátio; reserve tempo à parte para redigir o laudo. Cliente e endereço são dados pessoais (LGPD): não compartilhe a agenda em grupos.</t>
        </is>
      </c>
    </row>
  </sheetData>
  <mergeCells count="14">
    <mergeCell ref="A4:B4"/>
    <mergeCell ref="A41:F41"/>
    <mergeCell ref="A51:F51"/>
    <mergeCell ref="A52:F52"/>
    <mergeCell ref="A54:L54"/>
    <mergeCell ref="J2:L3"/>
    <mergeCell ref="A13:F13"/>
    <mergeCell ref="A1:L1"/>
    <mergeCell ref="A27:F27"/>
    <mergeCell ref="A34:F34"/>
    <mergeCell ref="A50:F50"/>
    <mergeCell ref="A48:F48"/>
    <mergeCell ref="A20:F20"/>
    <mergeCell ref="C4:D4"/>
  </mergeCells>
  <dataValidations count="3">
    <dataValidation sqref="E7:E48" showDropDown="0" showInputMessage="0" showErrorMessage="1" allowBlank="1" errorTitle="Valor inválido" error="Escolha um valor da lista." type="list">
      <formula1>"Básica,Intermediária,Completa,Moto,Utilitário,Retorno/outros"</formula1>
    </dataValidation>
    <dataValidation sqref="G7:I48" showDropDown="0" showInputMessage="0" showErrorMessage="1" allowBlank="1" error="Digite minutos/km (número)." type="decimal" operator="between">
      <formula1>0</formula1>
      <formula2>1000</formula2>
    </dataValidation>
    <dataValidation sqref="C7:C48" showDropDown="0" showInputMessage="0" showErrorMessage="1" allowBlank="1" error="Digite a hora como hh:mm (ex.: 08:30)." type="time" operator="between">
      <formula1>0</formula1>
      <formula2>0.999988</formula2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&amp;L&amp;8 Protocolo Cautelar&amp;R&amp;8 Página &amp;P de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2026-09-30T19:39:29Z</dcterms:created>
  <dcterms:modified xmlns:dcterms="http://purl.org/dc/terms/" xmlns:xsi="http://www.w3.org/2001/XMLSchema-instance" xsi:type="dcterms:W3CDTF">2026-09-30T19:39:29Z</dcterms:modified>
</cp:coreProperties>
</file>