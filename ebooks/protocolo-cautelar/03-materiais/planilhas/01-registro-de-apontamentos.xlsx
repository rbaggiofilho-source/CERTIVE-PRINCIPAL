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Vistor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Anexo MOTO" sheetId="4" state="visible" r:id="rId4"/>
    <sheet xmlns:r="http://schemas.openxmlformats.org/officeDocument/2006/relationships" name="Anexo UTL" sheetId="5" state="visible" r:id="rId5"/>
    <sheet xmlns:r="http://schemas.openxmlformats.org/officeDocument/2006/relationships" name="Critério" sheetId="6" state="visible" r:id="rId6"/>
  </sheets>
  <definedNames>
    <definedName name="_xlnm.Print_Area" localSheetId="0">'Capa'!$A$1:$F$30</definedName>
    <definedName name="_xlnm._FilterDatabase" localSheetId="1" hidden="1">'Vistoria'!$A$14:$H$109</definedName>
    <definedName name="_xlnm.Print_Titles" localSheetId="1">'Vistoria'!$14:$14</definedName>
    <definedName name="_xlnm.Print_Area" localSheetId="1">'Vistoria'!$A$1:$H$109</definedName>
    <definedName name="_xlnm.Print_Area" localSheetId="2">'Resumo'!$A$1:$K$34</definedName>
    <definedName name="_xlnm.Print_Titles" localSheetId="3">'Anexo MOTO'!$5:$5</definedName>
    <definedName name="_xlnm.Print_Area" localSheetId="3">'Anexo MOTO'!$A$1:$H$15</definedName>
    <definedName name="_xlnm.Print_Titles" localSheetId="4">'Anexo UTL'!$5:$5</definedName>
    <definedName name="_xlnm.Print_Area" localSheetId="4">'Anexo UTL'!$A$1:$H$12</definedName>
    <definedName name="_xlnm.Print_Area" localSheetId="5">'Critério'!$A$1:$D$19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;-0;&quot;·&quot;"/>
  </numFmts>
  <fonts count="29">
    <font>
      <name val="Calibri"/>
      <family val="2"/>
      <color theme="1"/>
      <sz val="11"/>
      <scheme val="minor"/>
    </font>
    <font>
      <name val="Calibri"/>
      <b val="1"/>
      <color rgb="00F2A900"/>
      <sz val="24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0000FF"/>
      <sz val="11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4E5864"/>
      <sz val="9"/>
    </font>
    <font>
      <name val="Calibri"/>
      <i val="1"/>
      <color rgb="007A8591"/>
      <sz val="8"/>
    </font>
    <font>
      <name val="Calibri"/>
      <b val="1"/>
      <color rgb="00F2A900"/>
      <sz val="14"/>
    </font>
    <font>
      <name val="Calibri"/>
      <b val="1"/>
      <color rgb="004E5864"/>
      <sz val="10"/>
    </font>
    <font>
      <name val="Calibri"/>
      <b val="1"/>
      <color rgb="00000000"/>
      <sz val="11"/>
    </font>
    <font>
      <name val="Calibri"/>
      <b val="1"/>
      <color rgb="00FFFFFF"/>
      <sz val="9"/>
    </font>
    <font>
      <name val="Calibri"/>
      <b val="1"/>
      <color rgb="001A1F26"/>
      <sz val="9"/>
    </font>
    <font>
      <name val="Calibri"/>
      <color rgb="001A1F26"/>
      <sz val="10"/>
    </font>
    <font>
      <name val="Calibri"/>
      <b val="1"/>
      <color rgb="001A1F26"/>
      <sz val="10"/>
    </font>
    <font>
      <name val="Calibri"/>
      <b val="1"/>
      <color rgb="000000FF"/>
      <sz val="10"/>
    </font>
    <font>
      <name val="Calibri"/>
      <color rgb="000000FF"/>
      <sz val="10"/>
    </font>
    <font>
      <name val="Calibri"/>
      <b val="1"/>
      <color rgb="00C62828"/>
      <sz val="10"/>
    </font>
    <font>
      <name val="Calibri"/>
      <b val="1"/>
      <color rgb="001A1F26"/>
      <sz val="12"/>
    </font>
    <font>
      <name val="Calibri"/>
      <b val="1"/>
      <color rgb="001A1F26"/>
      <sz val="11"/>
    </font>
    <font>
      <name val="Calibri"/>
      <color rgb="004E5864"/>
      <sz val="10"/>
    </font>
    <font>
      <name val="Calibri"/>
      <b val="1"/>
      <color rgb="00FFFFFF"/>
      <sz val="16"/>
    </font>
    <font>
      <name val="Calibri"/>
      <b val="1"/>
      <color rgb="00E0661B"/>
      <sz val="10"/>
    </font>
    <font>
      <name val="Calibri"/>
      <i val="1"/>
      <color rgb="001A1F26"/>
      <sz val="9"/>
    </font>
    <font>
      <name val="Calibri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FFF4D6"/>
        <bgColor rgb="00FFF4D6"/>
      </patternFill>
    </fill>
    <fill>
      <patternFill patternType="solid">
        <fgColor rgb="00EEF3FF"/>
        <bgColor rgb="00EEF3FF"/>
      </patternFill>
    </fill>
    <fill>
      <patternFill patternType="solid">
        <fgColor rgb="00F5F6F8"/>
        <bgColor rgb="00F5F6F8"/>
      </patternFill>
    </fill>
    <fill>
      <patternFill patternType="solid">
        <fgColor rgb="002E9E5B"/>
        <bgColor rgb="002E9E5B"/>
      </patternFill>
    </fill>
    <fill>
      <patternFill patternType="solid">
        <fgColor rgb="004F7FB0"/>
        <bgColor rgb="004F7FB0"/>
      </patternFill>
    </fill>
    <fill>
      <patternFill patternType="solid">
        <fgColor rgb="00E0A100"/>
        <bgColor rgb="00E0A100"/>
      </patternFill>
    </fill>
    <fill>
      <patternFill patternType="solid">
        <fgColor rgb="00E0661B"/>
        <bgColor rgb="00E0661B"/>
      </patternFill>
    </fill>
    <fill>
      <patternFill patternType="solid">
        <fgColor rgb="00C62828"/>
        <bgColor rgb="00C62828"/>
      </patternFill>
    </fill>
    <fill>
      <patternFill patternType="solid">
        <fgColor rgb="005A6472"/>
        <bgColor rgb="005A6472"/>
      </patternFill>
    </fill>
    <fill>
      <patternFill patternType="solid">
        <fgColor rgb="00A7B0BA"/>
        <bgColor rgb="00A7B0BA"/>
      </patternFill>
    </fill>
    <fill>
      <patternFill patternType="solid">
        <fgColor rgb="002A3440"/>
        <bgColor rgb="002A3440"/>
      </patternFill>
    </fill>
  </fills>
  <borders count="8">
    <border>
      <left/>
      <right/>
      <top/>
      <bottom/>
      <diagonal/>
    </border>
    <border>
      <left style="dashed">
        <color rgb="00B87F00"/>
      </left>
      <right style="dashed">
        <color rgb="00B87F00"/>
      </right>
      <top style="dashed">
        <color rgb="00B87F00"/>
      </top>
      <bottom style="dashed">
        <color rgb="00B87F00"/>
      </bottom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left/>
      <right/>
      <top style="thin">
        <color rgb="00DDE1E6"/>
      </top>
      <bottom/>
      <diagonal/>
    </border>
    <border>
      <left/>
      <right style="thin">
        <color rgb="00DDE1E6"/>
      </right>
      <top style="thin">
        <color rgb="00DDE1E6"/>
      </top>
      <bottom/>
      <diagonal/>
    </border>
    <border>
      <left/>
      <right/>
      <top style="thin">
        <color rgb="00DDE1E6"/>
      </top>
      <bottom style="thin">
        <color rgb="00DDE1E6"/>
      </bottom>
      <diagonal/>
    </border>
    <border>
      <left/>
      <right style="thin">
        <color rgb="00DDE1E6"/>
      </right>
      <top style="thin">
        <color rgb="00DDE1E6"/>
      </top>
      <bottom style="thin">
        <color rgb="00DDE1E6"/>
      </bottom>
      <diagonal/>
    </border>
    <border/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6" borderId="2" pivotButton="0" quotePrefix="0" xfId="0"/>
    <xf numFmtId="0" fontId="6" fillId="2" borderId="0" pivotButton="0" quotePrefix="0" xfId="0"/>
    <xf numFmtId="4" fontId="8" fillId="2" borderId="2" pivotButton="0" quotePrefix="0" xfId="0"/>
    <xf numFmtId="0" fontId="9" fillId="3" borderId="2" pivotButton="0" quotePrefix="0" xfId="0"/>
    <xf numFmtId="0" fontId="10" fillId="2" borderId="0" applyAlignment="1" pivotButton="0" quotePrefix="0" xfId="0">
      <alignment vertical="top" wrapText="1"/>
    </xf>
    <xf numFmtId="0" fontId="11" fillId="2" borderId="0" applyAlignment="1" pivotButton="0" quotePrefix="0" xfId="0">
      <alignment wrapText="1"/>
    </xf>
    <xf numFmtId="0" fontId="12" fillId="3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3" fontId="7" fillId="6" borderId="2" applyAlignment="1" pivotButton="0" quotePrefix="0" xfId="0">
      <alignment horizontal="left" vertical="center" wrapText="1"/>
    </xf>
    <xf numFmtId="0" fontId="15" fillId="8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5" fillId="11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top"/>
    </xf>
    <xf numFmtId="0" fontId="18" fillId="7" borderId="2" applyAlignment="1" pivotButton="0" quotePrefix="0" xfId="0">
      <alignment horizontal="center" vertical="top"/>
    </xf>
    <xf numFmtId="0" fontId="17" fillId="7" borderId="2" applyAlignment="1" pivotButton="0" quotePrefix="0" xfId="0">
      <alignment vertical="top" wrapText="1"/>
    </xf>
    <xf numFmtId="0" fontId="19" fillId="6" borderId="2" applyAlignment="1" pivotButton="0" quotePrefix="0" xfId="0">
      <alignment horizontal="center" vertical="top" wrapText="1"/>
    </xf>
    <xf numFmtId="0" fontId="20" fillId="6" borderId="2" applyAlignment="1" pivotButton="0" quotePrefix="0" xfId="0">
      <alignment horizontal="left" vertical="top" wrapText="1"/>
    </xf>
    <xf numFmtId="0" fontId="20" fillId="6" borderId="2" applyAlignment="1" pivotButton="0" quotePrefix="0" xfId="0">
      <alignment horizontal="center" vertical="top" wrapText="1"/>
    </xf>
    <xf numFmtId="0" fontId="17" fillId="0" borderId="2" applyAlignment="1" pivotButton="0" quotePrefix="0" xfId="0">
      <alignment horizontal="center" vertical="top"/>
    </xf>
    <xf numFmtId="0" fontId="21" fillId="0" borderId="2" applyAlignment="1" pivotButton="0" quotePrefix="0" xfId="0">
      <alignment horizontal="center" vertical="top"/>
    </xf>
    <xf numFmtId="0" fontId="17" fillId="0" borderId="2" applyAlignment="1" pivotButton="0" quotePrefix="0" xfId="0">
      <alignment vertical="top" wrapText="1"/>
    </xf>
    <xf numFmtId="0" fontId="18" fillId="0" borderId="2" applyAlignment="1" pivotButton="0" quotePrefix="0" xfId="0">
      <alignment horizontal="center" vertical="top"/>
    </xf>
    <xf numFmtId="0" fontId="21" fillId="7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2" fillId="7" borderId="2" applyAlignment="1" pivotButton="0" quotePrefix="0" xfId="0">
      <alignment horizontal="left" vertical="center" wrapText="1"/>
    </xf>
    <xf numFmtId="0" fontId="25" fillId="15" borderId="2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17" fillId="0" borderId="2" pivotButton="0" quotePrefix="0" xfId="0"/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24" fillId="0" borderId="2" pivotButton="0" quotePrefix="0" xfId="0"/>
    <xf numFmtId="0" fontId="9" fillId="3" borderId="0" pivotButton="0" quotePrefix="0" xfId="0"/>
    <xf numFmtId="0" fontId="0" fillId="5" borderId="2" pivotButton="0" quotePrefix="0" xfId="0"/>
    <xf numFmtId="0" fontId="24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 wrapText="1"/>
    </xf>
    <xf numFmtId="0" fontId="27" fillId="5" borderId="0" applyAlignment="1" pivotButton="0" quotePrefix="0" xfId="0">
      <alignment vertical="center" wrapText="1" indent="1"/>
    </xf>
    <xf numFmtId="0" fontId="10" fillId="0" borderId="0" applyAlignment="1" pivotButton="0" quotePrefix="0" xfId="0">
      <alignment horizontal="left" vertical="center" wrapText="1" indent="1"/>
    </xf>
    <xf numFmtId="0" fontId="18" fillId="0" borderId="2" applyAlignment="1" pivotButton="0" quotePrefix="0" xfId="0">
      <alignment vertical="top" wrapText="1"/>
    </xf>
    <xf numFmtId="0" fontId="9" fillId="14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28" fillId="13" borderId="2" applyAlignment="1" pivotButton="0" quotePrefix="0" xfId="0">
      <alignment vertical="top" wrapText="1"/>
    </xf>
    <xf numFmtId="0" fontId="28" fillId="12" borderId="2" applyAlignment="1" pivotButton="0" quotePrefix="0" xfId="0">
      <alignment vertical="top" wrapText="1"/>
    </xf>
    <xf numFmtId="0" fontId="18" fillId="10" borderId="2" applyAlignment="1" pivotButton="0" quotePrefix="0" xfId="0">
      <alignment vertical="top" wrapText="1"/>
    </xf>
    <xf numFmtId="0" fontId="28" fillId="8" borderId="2" applyAlignment="1" pivotButton="0" quotePrefix="0" xfId="0">
      <alignment vertical="top" wrapText="1"/>
    </xf>
  </cellXfs>
  <cellStyles count="1">
    <cellStyle name="Normal" xfId="0" builtinId="0" hidden="0"/>
  </cellStyles>
  <dxfs count="13">
    <dxf>
      <font>
        <name val="Calibri"/>
        <b val="1"/>
        <color rgb="00FFFFFF"/>
      </font>
      <fill>
        <patternFill patternType="solid">
          <fgColor rgb="002E9E5B"/>
          <bgColor rgb="002E9E5B"/>
        </patternFill>
      </fill>
    </dxf>
    <dxf>
      <font>
        <name val="Calibri"/>
        <b val="1"/>
        <color rgb="00FFFFFF"/>
      </font>
      <fill>
        <patternFill patternType="solid">
          <fgColor rgb="004F7FB0"/>
          <bgColor rgb="004F7FB0"/>
        </patternFill>
      </fill>
    </dxf>
    <dxf>
      <font>
        <name val="Calibri"/>
        <b val="1"/>
        <color rgb="001A1F26"/>
      </font>
      <fill>
        <patternFill patternType="solid">
          <fgColor rgb="00E0A100"/>
          <bgColor rgb="00E0A100"/>
        </patternFill>
      </fill>
    </dxf>
    <dxf>
      <font>
        <name val="Calibri"/>
        <b val="1"/>
        <color rgb="00FFFFFF"/>
      </font>
      <fill>
        <patternFill patternType="solid">
          <fgColor rgb="00E0661B"/>
          <bgColor rgb="00E0661B"/>
        </patternFill>
      </fill>
    </dxf>
    <dxf>
      <font>
        <name val="Calibri"/>
        <b val="1"/>
        <color rgb="00FFFFFF"/>
      </font>
      <fill>
        <patternFill patternType="solid">
          <fgColor rgb="00C62828"/>
          <bgColor rgb="00C62828"/>
        </patternFill>
      </fill>
    </dxf>
    <dxf>
      <font>
        <name val="Calibri"/>
        <b val="1"/>
        <color rgb="00FFFFFF"/>
      </font>
      <fill>
        <patternFill patternType="solid">
          <fgColor rgb="005A6472"/>
          <bgColor rgb="005A6472"/>
        </patternFill>
      </fill>
    </dxf>
    <dxf>
      <font>
        <name val="Calibri"/>
        <b val="1"/>
        <color rgb="001A1F26"/>
      </font>
      <fill>
        <patternFill patternType="solid">
          <fgColor rgb="00A7B0BA"/>
          <bgColor rgb="00A7B0BA"/>
        </patternFill>
      </fill>
    </dxf>
    <dxf>
      <font>
        <name val="Calibri"/>
        <b val="1"/>
        <color rgb="001A1F26"/>
      </font>
      <fill>
        <patternFill patternType="solid">
          <fgColor rgb="00DDE1E6"/>
          <bgColor rgb="00DDE1E6"/>
        </patternFill>
      </fill>
    </dxf>
    <dxf>
      <font>
        <name val="Calibri"/>
        <b val="1"/>
        <color rgb="00FFFFFF"/>
        <sz val="16"/>
      </font>
      <fill>
        <patternFill patternType="solid">
          <fgColor rgb="005A6472"/>
          <bgColor rgb="005A6472"/>
        </patternFill>
      </fill>
    </dxf>
    <dxf>
      <font>
        <name val="Calibri"/>
        <b val="1"/>
        <color rgb="00FFFFFF"/>
        <sz val="16"/>
      </font>
      <fill>
        <patternFill patternType="solid">
          <fgColor rgb="00C62828"/>
          <bgColor rgb="00C62828"/>
        </patternFill>
      </fill>
    </dxf>
    <dxf>
      <font>
        <name val="Calibri"/>
        <b val="1"/>
        <color rgb="001A1F26"/>
        <sz val="16"/>
      </font>
      <fill>
        <patternFill patternType="solid">
          <fgColor rgb="00E0A100"/>
          <bgColor rgb="00E0A100"/>
        </patternFill>
      </fill>
    </dxf>
    <dxf>
      <font>
        <name val="Calibri"/>
        <b val="1"/>
        <color rgb="001A1F26"/>
        <sz val="16"/>
      </font>
      <fill>
        <patternFill patternType="solid">
          <fgColor rgb="00DDE1E6"/>
          <bgColor rgb="00DDE1E6"/>
        </patternFill>
      </fill>
    </dxf>
    <dxf>
      <font>
        <name val="Calibri"/>
        <b val="1"/>
        <color rgb="00FFFFFF"/>
        <sz val="16"/>
      </font>
      <fill>
        <patternFill patternType="solid">
          <fgColor rgb="002E9E5B"/>
          <bgColor rgb="002E9E5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Protocolo Cautelar</author>
  </authors>
  <commentList>
    <comment ref="B10" authorId="0" shapeId="0">
      <text>
        <t>Substitua pelo seu nome/empresa ou apague o texto e use Inserir &gt; Imagem para colocar sua logo sobre esta área.</t>
      </text>
    </comment>
  </commentList>
</comments>
</file>

<file path=xl/comments/comment2.xml><?xml version="1.0" encoding="utf-8"?>
<comments xmlns="http://schemas.openxmlformats.org/spreadsheetml/2006/main">
  <authors>
    <author>Protocolo Cautelar</author>
  </authors>
  <commentList>
    <comment ref="D2" authorId="0" shapeId="0">
      <text>
        <t>Substitua pelo seu nome/empresa ou apague o texto e use Inserir &gt; Imagem para colocar sua logo sobre esta área.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2A900"/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PROTOCOLO CAUTELAR</t>
        </is>
      </c>
      <c r="F2" s="1" t="n"/>
    </row>
    <row r="3">
      <c r="A3" s="1" t="n"/>
      <c r="B3" s="3" t="inlineStr">
        <is>
          <t>O sistema do vistoriador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Registro de Apontamentos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7" t="inlineStr">
        <is>
          <t>[ SUA LOGO / SEU NOME AQUI ]</t>
        </is>
      </c>
      <c r="C10" s="8" t="n"/>
      <c r="D10" s="8" t="n"/>
      <c r="E10" s="8" t="n"/>
      <c r="F10" s="6" t="n"/>
    </row>
    <row r="11" ht="20" customHeight="1">
      <c r="A11" s="6" t="n"/>
      <c r="B11" s="8" t="n"/>
      <c r="C11" s="8" t="n"/>
      <c r="D11" s="8" t="n"/>
      <c r="E11" s="8" t="n"/>
      <c r="F11" s="6" t="n"/>
    </row>
    <row r="12" ht="20" customHeight="1">
      <c r="A12" s="6" t="n"/>
      <c r="B12" s="8" t="n"/>
      <c r="C12" s="8" t="n"/>
      <c r="D12" s="8" t="n"/>
      <c r="E12" s="8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9" t="inlineStr">
        <is>
          <t>COMO USAR</t>
        </is>
      </c>
      <c r="C14" s="6" t="n"/>
      <c r="D14" s="6" t="n"/>
      <c r="E14" s="6" t="n"/>
      <c r="F14" s="6" t="n"/>
    </row>
    <row r="15" ht="32" customHeight="1">
      <c r="A15" s="6" t="n"/>
      <c r="B15" s="10" t="inlineStr">
        <is>
          <t>1. Preencha o cabeçalho da aba Vistoria (veículo, cliente, vistoriador) e indique se os anexos MOTO/UTL se aplicam.</t>
        </is>
      </c>
      <c r="F15" s="6" t="n"/>
    </row>
    <row r="16" ht="32" customHeight="1">
      <c r="A16" s="6" t="n"/>
      <c r="B16" s="10" t="inlineStr">
        <is>
          <t>2. Para cada item, escolha o Nível na lista (N0 a N4, N/A = não se aplica; NV = não verificável, só em Identificação veicular).</t>
        </is>
      </c>
      <c r="F16" s="6" t="n"/>
    </row>
    <row r="17" ht="32" customHeight="1">
      <c r="A17" s="6" t="n"/>
      <c r="B17" s="10" t="inlineStr">
        <is>
          <t>3. Anote a constatação e o número da foto. Itens com código em vermelho são críticos; 'Foto obrigatória? SIM' exige registro fotográfico.</t>
        </is>
      </c>
      <c r="F17" s="6" t="n"/>
    </row>
    <row r="18" ht="32" customHeight="1">
      <c r="A18" s="6" t="n"/>
      <c r="B18" s="10" t="inlineStr">
        <is>
          <t>4. A aba Resumo conta os níveis por sistema e mostra a classificação final pela Matriz do Protocolo. Itens em branco geram 'INCOMPLETO'.</t>
        </is>
      </c>
      <c r="F18" s="6" t="n"/>
    </row>
    <row r="19" ht="32" customHeight="1">
      <c r="A19" s="6" t="n"/>
      <c r="B19" s="10" t="inlineStr">
        <is>
          <t>5. A aba Critério explica cada nível e a matriz. A classificação vale para o exame visual e não destrutivo no momento da vistoria.</t>
        </is>
      </c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9" t="inlineStr">
        <is>
          <t>LEGENDA DE CORES</t>
        </is>
      </c>
      <c r="C21" s="6" t="n"/>
      <c r="D21" s="6" t="n"/>
      <c r="E21" s="6" t="n"/>
      <c r="F21" s="6" t="n"/>
    </row>
    <row r="22">
      <c r="A22" s="6" t="n"/>
      <c r="B22" s="11" t="inlineStr">
        <is>
          <t>1234,00</t>
        </is>
      </c>
      <c r="C22" s="12" t="inlineStr">
        <is>
          <t>Texto AZUL (fundo azul-claro) = ENTRADA: você digita ou escolhe na lista.</t>
        </is>
      </c>
      <c r="F22" s="6" t="n"/>
    </row>
    <row r="23">
      <c r="A23" s="6" t="n"/>
      <c r="B23" s="13">
        <f>2*617</f>
        <v/>
      </c>
      <c r="C23" s="12" t="inlineStr">
        <is>
          <t>Texto PRETO = FÓRMULA: calculado automaticamente. Não digite por cima.</t>
        </is>
      </c>
      <c r="F23" s="6" t="n"/>
    </row>
    <row r="24">
      <c r="A24" s="6" t="n"/>
      <c r="B24" s="14" t="inlineStr">
        <is>
          <t>Cabeçalho</t>
        </is>
      </c>
      <c r="C24" s="12" t="inlineStr">
        <is>
          <t>Faixa escura = títulos de colunas (não editar).</t>
        </is>
      </c>
      <c r="F24" s="6" t="n"/>
    </row>
    <row r="25">
      <c r="A25" s="6" t="n"/>
      <c r="B25" s="6" t="n"/>
      <c r="C25" s="6" t="n"/>
      <c r="D25" s="6" t="n"/>
      <c r="E25" s="6" t="n"/>
      <c r="F25" s="6" t="n"/>
    </row>
    <row r="26" ht="30" customHeight="1">
      <c r="A26" s="6" t="n"/>
      <c r="B26" s="15" t="inlineStr">
        <is>
          <t>Matriz: NV em Identificação veicular → INCONCLUSIVO; qualquer N4 → REPROVADO; qualquer N2/N3 → APROVADO COM APONTAMENTOS; só N0/N1 → APROVADO.</t>
        </is>
      </c>
      <c r="F26" s="6" t="n"/>
    </row>
    <row r="27" ht="30" customHeight="1">
      <c r="A27" s="6" t="n"/>
      <c r="B27" s="15" t="inlineStr">
        <is>
          <t>"Aprovado" classifica o resultado do exame técnico visual naquele momento; não aprova a compra, não garante o veículo e não substitui a vistoria oficial.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 ht="24" customHeight="1">
      <c r="A29" s="6" t="n"/>
      <c r="B29" s="16" t="inlineStr">
        <is>
          <t>Os valores de exemplo são fictícios. Placas de exemplo: ABC1D23 / XXX0X00. Material de apoio: não substitui norma, perícia oficial nem vistoria de transferência.</t>
        </is>
      </c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15">
    <mergeCell ref="B17:E17"/>
    <mergeCell ref="B18:E18"/>
    <mergeCell ref="B26:E26"/>
    <mergeCell ref="B27:E27"/>
    <mergeCell ref="B10:E12"/>
    <mergeCell ref="C23:E23"/>
    <mergeCell ref="C22:E22"/>
    <mergeCell ref="B16:E16"/>
    <mergeCell ref="B15:E15"/>
    <mergeCell ref="B29:E29"/>
    <mergeCell ref="B3:E3"/>
    <mergeCell ref="B2:E2"/>
    <mergeCell ref="B19:E19"/>
    <mergeCell ref="B5:E6"/>
    <mergeCell ref="C24:E24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F1318"/>
    <outlinePr summaryBelow="1" summaryRight="1"/>
    <pageSetUpPr fitToPage="1"/>
  </sheetPr>
  <dimension ref="A1:H109"/>
  <sheetViews>
    <sheetView showGridLines="0"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46" customWidth="1" min="4" max="4"/>
    <col width="9" customWidth="1" min="5" max="5"/>
    <col width="38" customWidth="1" min="6" max="6"/>
    <col width="12" customWidth="1" min="7" max="7"/>
    <col width="13" customWidth="1" min="8" max="8"/>
  </cols>
  <sheetData>
    <row r="1" ht="28" customHeight="1">
      <c r="A1" s="17" t="inlineStr">
        <is>
          <t>PROTOCOLO CAUTELAR  |  REGISTRO DE APONTAMENTOS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18" t="inlineStr">
        <is>
          <t>Preencha as células azuis. Nível: escolha na lista. NV só é aceito nos itens IDV.</t>
        </is>
      </c>
      <c r="D2" s="7" t="inlineStr">
        <is>
          <t>[ SUA LOGO / SEU NOME AQUI ]</t>
        </is>
      </c>
      <c r="E2" s="8" t="n"/>
      <c r="F2" s="8" t="n"/>
    </row>
    <row r="3" ht="18" customHeight="1">
      <c r="D3" s="8" t="n"/>
      <c r="E3" s="8" t="n"/>
      <c r="F3" s="8" t="n"/>
    </row>
    <row r="5" ht="18" customHeight="1">
      <c r="A5" s="19" t="inlineStr">
        <is>
          <t>Laudo nº</t>
        </is>
      </c>
      <c r="B5" s="20" t="inlineStr">
        <is>
          <t>2026-0001</t>
        </is>
      </c>
      <c r="D5" s="21" t="inlineStr">
        <is>
          <t>Data / hora</t>
        </is>
      </c>
      <c r="E5" s="20" t="n"/>
      <c r="G5" s="19" t="inlineStr">
        <is>
          <t>MOTO aplicável?</t>
        </is>
      </c>
      <c r="H5" s="22" t="inlineStr">
        <is>
          <t>NÃO</t>
        </is>
      </c>
    </row>
    <row r="6" ht="18" customHeight="1">
      <c r="A6" s="19" t="inlineStr">
        <is>
          <t>Cliente</t>
        </is>
      </c>
      <c r="B6" s="20" t="inlineStr">
        <is>
          <t>Cliente Exemplo</t>
        </is>
      </c>
      <c r="D6" s="21" t="inlineStr">
        <is>
          <t>Telefone / e-mail</t>
        </is>
      </c>
      <c r="E6" s="20" t="inlineStr">
        <is>
          <t>(00) 00000-0000</t>
        </is>
      </c>
      <c r="G6" s="19" t="inlineStr">
        <is>
          <t>UTL aplicável?</t>
        </is>
      </c>
      <c r="H6" s="22" t="inlineStr">
        <is>
          <t>NÃO</t>
        </is>
      </c>
    </row>
    <row r="7" ht="18" customHeight="1">
      <c r="A7" s="19" t="inlineStr">
        <is>
          <t>Vistoriador</t>
        </is>
      </c>
      <c r="B7" s="20" t="inlineStr">
        <is>
          <t>Seu nome</t>
        </is>
      </c>
      <c r="D7" s="21" t="inlineStr">
        <is>
          <t>Registro / contato</t>
        </is>
      </c>
      <c r="E7" s="20" t="n"/>
      <c r="G7" s="19" t="inlineStr">
        <is>
          <t>Classificação atual</t>
        </is>
      </c>
    </row>
    <row r="8" ht="18" customHeight="1">
      <c r="A8" s="19" t="inlineStr">
        <is>
          <t>Local</t>
        </is>
      </c>
      <c r="B8" s="20" t="inlineStr">
        <is>
          <t>Endereço da vistoria</t>
        </is>
      </c>
      <c r="D8" s="21" t="inlineStr">
        <is>
          <t>Solicitante</t>
        </is>
      </c>
      <c r="E8" s="20" t="inlineStr">
        <is>
          <t>Comprador</t>
        </is>
      </c>
      <c r="G8" s="23">
        <f>Resumo!$B$6</f>
        <v/>
      </c>
    </row>
    <row r="9" ht="18" customHeight="1">
      <c r="A9" s="19" t="inlineStr">
        <is>
          <t>Marca/modelo</t>
        </is>
      </c>
      <c r="B9" s="20" t="inlineStr">
        <is>
          <t>Marca Modelo 1.0</t>
        </is>
      </c>
      <c r="D9" s="21" t="inlineStr">
        <is>
          <t>Ano fab./mod.</t>
        </is>
      </c>
      <c r="E9" s="20" t="inlineStr">
        <is>
          <t>2020/2021</t>
        </is>
      </c>
    </row>
    <row r="10" ht="18" customHeight="1">
      <c r="A10" s="19" t="inlineStr">
        <is>
          <t>Placa</t>
        </is>
      </c>
      <c r="B10" s="20" t="inlineStr">
        <is>
          <t>ABC1D23</t>
        </is>
      </c>
      <c r="D10" s="21" t="inlineStr">
        <is>
          <t>Cor / combustível</t>
        </is>
      </c>
      <c r="E10" s="20" t="inlineStr">
        <is>
          <t>Prata / Flex</t>
        </is>
      </c>
    </row>
    <row r="11" ht="18" customHeight="1">
      <c r="A11" s="19" t="inlineStr">
        <is>
          <t>Chassi (VIN)</t>
        </is>
      </c>
      <c r="B11" s="20" t="inlineStr">
        <is>
          <t>XXXXXXXXXXXXXXXXX</t>
        </is>
      </c>
      <c r="D11" s="21" t="inlineStr">
        <is>
          <t>Km hodômetro</t>
        </is>
      </c>
      <c r="E11" s="24" t="n">
        <v>45000</v>
      </c>
      <c r="G11" s="25" t="inlineStr">
        <is>
          <t>N0 Conforme</t>
        </is>
      </c>
      <c r="H11" s="26" t="inlineStr">
        <is>
          <t>N1 Observação</t>
        </is>
      </c>
    </row>
    <row r="12" ht="18" customHeight="1">
      <c r="A12" s="19" t="inlineStr">
        <is>
          <t>Nº motor</t>
        </is>
      </c>
      <c r="B12" s="20" t="n"/>
      <c r="D12" s="21" t="inlineStr">
        <is>
          <t>RENAVAM</t>
        </is>
      </c>
      <c r="E12" s="20" t="n"/>
      <c r="G12" s="27" t="inlineStr">
        <is>
          <t>N2 Apontam.</t>
        </is>
      </c>
      <c r="H12" s="28" t="inlineStr">
        <is>
          <t>N3 Relevante</t>
        </is>
      </c>
    </row>
    <row r="13">
      <c r="A13" s="18" t="inlineStr">
        <is>
          <t>N/A = não se aplica (conta como preenchido).  NV = não verificável — somente em Identificação veicular; leva a INCONCLUSIVO.  Código em vermelho = item crítico.</t>
        </is>
      </c>
      <c r="G13" s="29" t="inlineStr">
        <is>
          <t>N4 Crítico</t>
        </is>
      </c>
      <c r="H13" s="30" t="inlineStr">
        <is>
          <t>NV Não verif.</t>
        </is>
      </c>
    </row>
    <row r="14" ht="30" customHeight="1">
      <c r="A14" s="31" t="inlineStr">
        <is>
          <t>Sistema</t>
        </is>
      </c>
      <c r="B14" s="31" t="inlineStr">
        <is>
          <t>Item</t>
        </is>
      </c>
      <c r="C14" s="31" t="inlineStr">
        <is>
          <t>Descrição do item</t>
        </is>
      </c>
      <c r="D14" s="31" t="inlineStr">
        <is>
          <t>O que verificar</t>
        </is>
      </c>
      <c r="E14" s="31" t="inlineStr">
        <is>
          <t>Nível</t>
        </is>
      </c>
      <c r="F14" s="31" t="inlineStr">
        <is>
          <t>Observação / constatação</t>
        </is>
      </c>
      <c r="G14" s="31" t="inlineStr">
        <is>
          <t>Foto nº</t>
        </is>
      </c>
      <c r="H14" s="31" t="inlineStr">
        <is>
          <t>Foto obrigatória?</t>
        </is>
      </c>
    </row>
    <row r="15" ht="27" customHeight="1">
      <c r="A15" s="32" t="inlineStr">
        <is>
          <t>DOC</t>
        </is>
      </c>
      <c r="B15" s="33" t="inlineStr">
        <is>
          <t>DOC-01</t>
        </is>
      </c>
      <c r="C15" s="34" t="inlineStr">
        <is>
          <t>CRLV-e apresentado e legível</t>
        </is>
      </c>
      <c r="D15" s="34" t="inlineStr">
        <is>
          <t>Documento digital ou impresso, dados completos, exercício de licenciamento.</t>
        </is>
      </c>
      <c r="E15" s="35" t="n"/>
      <c r="F15" s="36" t="n"/>
      <c r="G15" s="37" t="n"/>
      <c r="H15" s="32" t="inlineStr">
        <is>
          <t>SIM</t>
        </is>
      </c>
    </row>
    <row r="16" ht="27" customHeight="1">
      <c r="A16" s="32" t="inlineStr">
        <is>
          <t>DOC</t>
        </is>
      </c>
      <c r="B16" s="33" t="inlineStr">
        <is>
          <t>DOC-02</t>
        </is>
      </c>
      <c r="C16" s="34" t="inlineStr">
        <is>
          <t>Placa, chassi e RENAVAM do documento anotados</t>
        </is>
      </c>
      <c r="D16" s="34" t="inlineStr">
        <is>
          <t>Transcrever os três para conferência cruzada no sistema IDV.</t>
        </is>
      </c>
      <c r="E16" s="35" t="n"/>
      <c r="F16" s="36" t="n"/>
      <c r="G16" s="37" t="n"/>
      <c r="H16" s="32" t="inlineStr">
        <is>
          <t>—</t>
        </is>
      </c>
    </row>
    <row r="17" ht="27" customHeight="1">
      <c r="A17" s="32" t="inlineStr">
        <is>
          <t>DOC</t>
        </is>
      </c>
      <c r="B17" s="33" t="inlineStr">
        <is>
          <t>DOC-03</t>
        </is>
      </c>
      <c r="C17" s="34" t="inlineStr">
        <is>
          <t>Marca/modelo, ano, cor e combustível conferem com o veículo</t>
        </is>
      </c>
      <c r="D17" s="34" t="inlineStr">
        <is>
          <t>Cor e combustível divergentes do documento exigem registro.</t>
        </is>
      </c>
      <c r="E17" s="35" t="n"/>
      <c r="F17" s="36" t="n"/>
      <c r="G17" s="37" t="n"/>
      <c r="H17" s="32" t="inlineStr">
        <is>
          <t>—</t>
        </is>
      </c>
    </row>
    <row r="18" ht="27" customHeight="1">
      <c r="A18" s="32" t="inlineStr">
        <is>
          <t>DOC</t>
        </is>
      </c>
      <c r="B18" s="33" t="inlineStr">
        <is>
          <t>DOC-04</t>
        </is>
      </c>
      <c r="C18" s="34" t="inlineStr">
        <is>
          <t>Consulta de restrições (judicial, administrativa, roubo/furto)</t>
        </is>
      </c>
      <c r="D18" s="34" t="inlineStr">
        <is>
          <t>Fonte oficial ou provedor contratado; anexar comprovante com data e hora.</t>
        </is>
      </c>
      <c r="E18" s="35" t="n"/>
      <c r="F18" s="36" t="n"/>
      <c r="G18" s="37" t="n"/>
      <c r="H18" s="32" t="inlineStr">
        <is>
          <t>—</t>
        </is>
      </c>
    </row>
    <row r="19" ht="15" customHeight="1">
      <c r="A19" s="32" t="inlineStr">
        <is>
          <t>DOC</t>
        </is>
      </c>
      <c r="B19" s="33" t="inlineStr">
        <is>
          <t>DOC-05</t>
        </is>
      </c>
      <c r="C19" s="34" t="inlineStr">
        <is>
          <t>Gravame / alienação fiduciária</t>
        </is>
      </c>
      <c r="D19" s="34" t="inlineStr">
        <is>
          <t>Registro ativo ou baixado; anotar a instituição.</t>
        </is>
      </c>
      <c r="E19" s="35" t="n"/>
      <c r="F19" s="36" t="n"/>
      <c r="G19" s="37" t="n"/>
      <c r="H19" s="32" t="inlineStr">
        <is>
          <t>—</t>
        </is>
      </c>
    </row>
    <row r="20" ht="27" customHeight="1">
      <c r="A20" s="32" t="inlineStr">
        <is>
          <t>DOC</t>
        </is>
      </c>
      <c r="B20" s="33" t="inlineStr">
        <is>
          <t>DOC-06</t>
        </is>
      </c>
      <c r="C20" s="34" t="inlineStr">
        <is>
          <t>Histórico de leilão e sinistro</t>
        </is>
      </c>
      <c r="D20" s="34" t="inlineStr">
        <is>
          <t>Passagem por leilão, indenização integral, classificação de dano quando disponível.</t>
        </is>
      </c>
      <c r="E20" s="35" t="n"/>
      <c r="F20" s="36" t="n"/>
      <c r="G20" s="37" t="n"/>
      <c r="H20" s="32" t="inlineStr">
        <is>
          <t>—</t>
        </is>
      </c>
    </row>
    <row r="21" ht="27" customHeight="1">
      <c r="A21" s="32" t="inlineStr">
        <is>
          <t>DOC</t>
        </is>
      </c>
      <c r="B21" s="33" t="inlineStr">
        <is>
          <t>DOC-07</t>
        </is>
      </c>
      <c r="C21" s="34" t="inlineStr">
        <is>
          <t>Débitos (IPVA, licenciamento, multas)</t>
        </is>
      </c>
      <c r="D21" s="34" t="inlineStr">
        <is>
          <t>Informar ao cliente; não é impeditivo técnico, mas é risco do negócio.</t>
        </is>
      </c>
      <c r="E21" s="35" t="n"/>
      <c r="F21" s="36" t="n"/>
      <c r="G21" s="37" t="n"/>
      <c r="H21" s="32" t="inlineStr">
        <is>
          <t>—</t>
        </is>
      </c>
    </row>
    <row r="22" ht="27" customHeight="1">
      <c r="A22" s="32" t="inlineStr">
        <is>
          <t>DOC</t>
        </is>
      </c>
      <c r="B22" s="33" t="inlineStr">
        <is>
          <t>DOC-08</t>
        </is>
      </c>
      <c r="C22" s="34" t="inlineStr">
        <is>
          <t>Recall pendente</t>
        </is>
      </c>
      <c r="D22" s="34" t="inlineStr">
        <is>
          <t>Consulta pelo chassi no canal oficial do fabricante/governo.</t>
        </is>
      </c>
      <c r="E22" s="35" t="n"/>
      <c r="F22" s="36" t="n"/>
      <c r="G22" s="37" t="n"/>
      <c r="H22" s="32" t="inlineStr">
        <is>
          <t>—</t>
        </is>
      </c>
    </row>
    <row r="23" ht="27" customHeight="1">
      <c r="A23" s="32" t="inlineStr">
        <is>
          <t>DOC</t>
        </is>
      </c>
      <c r="B23" s="33" t="inlineStr">
        <is>
          <t>DOC-09</t>
        </is>
      </c>
      <c r="C23" s="34" t="inlineStr">
        <is>
          <t>Manual, chave reserva e registros de manutenção</t>
        </is>
      </c>
      <c r="D23" s="34" t="inlineStr">
        <is>
          <t>Coerência de datas e quilometragem nas revisões.</t>
        </is>
      </c>
      <c r="E23" s="35" t="n"/>
      <c r="F23" s="36" t="n"/>
      <c r="G23" s="37" t="n"/>
      <c r="H23" s="32" t="inlineStr">
        <is>
          <t>SIM</t>
        </is>
      </c>
    </row>
    <row r="24" ht="27" customHeight="1">
      <c r="A24" s="32" t="inlineStr">
        <is>
          <t>DOC</t>
        </is>
      </c>
      <c r="B24" s="33" t="inlineStr">
        <is>
          <t>DOC-10</t>
        </is>
      </c>
      <c r="C24" s="34" t="inlineStr">
        <is>
          <t>Quilometragem declarada x registros</t>
        </is>
      </c>
      <c r="D24" s="34" t="inlineStr">
        <is>
          <t>Comparar painel, revisões, etiquetas de troca de óleo e consultas.</t>
        </is>
      </c>
      <c r="E24" s="35" t="n"/>
      <c r="F24" s="36" t="n"/>
      <c r="G24" s="37" t="n"/>
      <c r="H24" s="32" t="inlineStr">
        <is>
          <t>SIM</t>
        </is>
      </c>
    </row>
    <row r="25" ht="27" customHeight="1">
      <c r="A25" s="38" t="inlineStr">
        <is>
          <t>IDV</t>
        </is>
      </c>
      <c r="B25" s="39" t="inlineStr">
        <is>
          <t>IDV-01</t>
        </is>
      </c>
      <c r="C25" s="40" t="inlineStr">
        <is>
          <t>VIN gravado no chassi/monobloco localizado e legível</t>
        </is>
      </c>
      <c r="D25" s="40" t="inlineStr">
        <is>
          <t>Local previsto pelo fabricante; 17 caracteres; confere com o documento.</t>
        </is>
      </c>
      <c r="E25" s="35" t="n"/>
      <c r="F25" s="36" t="n"/>
      <c r="G25" s="37" t="n"/>
      <c r="H25" s="38" t="inlineStr">
        <is>
          <t>SIM</t>
        </is>
      </c>
    </row>
    <row r="26" ht="27" customHeight="1">
      <c r="A26" s="38" t="inlineStr">
        <is>
          <t>IDV</t>
        </is>
      </c>
      <c r="B26" s="39" t="inlineStr">
        <is>
          <t>IDV-02</t>
        </is>
      </c>
      <c r="C26" s="40" t="inlineStr">
        <is>
          <t>Região da gravação sem sinais de intervenção</t>
        </is>
      </c>
      <c r="D26" s="40" t="inlineStr">
        <is>
          <t>Superfície, pintura e acabamento da área coerentes com o entorno.</t>
        </is>
      </c>
      <c r="E26" s="35" t="n"/>
      <c r="F26" s="36" t="n"/>
      <c r="G26" s="37" t="n"/>
      <c r="H26" s="38" t="inlineStr">
        <is>
          <t>SIM</t>
        </is>
      </c>
    </row>
    <row r="27" ht="27" customHeight="1">
      <c r="A27" s="38" t="inlineStr">
        <is>
          <t>IDV</t>
        </is>
      </c>
      <c r="B27" s="39" t="inlineStr">
        <is>
          <t>IDV-03</t>
        </is>
      </c>
      <c r="C27" s="40" t="inlineStr">
        <is>
          <t>Etiquetas de identificação (autodestrutivas) presentes e íntegras</t>
        </is>
      </c>
      <c r="D27" s="40" t="inlineStr">
        <is>
          <t>Coluna, cofre, assoalho conforme o fabricante; conferir sequência.</t>
        </is>
      </c>
      <c r="E27" s="35" t="n"/>
      <c r="F27" s="36" t="n"/>
      <c r="G27" s="37" t="n"/>
      <c r="H27" s="38" t="inlineStr">
        <is>
          <t>SIM</t>
        </is>
      </c>
    </row>
    <row r="28" ht="27" customHeight="1">
      <c r="A28" s="38" t="inlineStr">
        <is>
          <t>IDV</t>
        </is>
      </c>
      <c r="B28" s="41" t="inlineStr">
        <is>
          <t>IDV-04</t>
        </is>
      </c>
      <c r="C28" s="40" t="inlineStr">
        <is>
          <t>Gravação do VIN nos vidros</t>
        </is>
      </c>
      <c r="D28" s="40" t="inlineStr">
        <is>
          <t>Presença e coerência da gravação em cada vidro; vidro sem gravação é registrado.</t>
        </is>
      </c>
      <c r="E28" s="35" t="n"/>
      <c r="F28" s="36" t="n"/>
      <c r="G28" s="37" t="n"/>
      <c r="H28" s="38" t="inlineStr">
        <is>
          <t>SIM</t>
        </is>
      </c>
    </row>
    <row r="29" ht="27" customHeight="1">
      <c r="A29" s="38" t="inlineStr">
        <is>
          <t>IDV</t>
        </is>
      </c>
      <c r="B29" s="39" t="inlineStr">
        <is>
          <t>IDV-05</t>
        </is>
      </c>
      <c r="C29" s="40" t="inlineStr">
        <is>
          <t>Número do motor localizado e conferido</t>
        </is>
      </c>
      <c r="D29" s="40" t="inlineStr">
        <is>
          <t>Local do fabricante; confere com cadastro quando disponível.</t>
        </is>
      </c>
      <c r="E29" s="35" t="n"/>
      <c r="F29" s="36" t="n"/>
      <c r="G29" s="37" t="n"/>
      <c r="H29" s="38" t="inlineStr">
        <is>
          <t>SIM</t>
        </is>
      </c>
    </row>
    <row r="30" ht="27" customHeight="1">
      <c r="A30" s="38" t="inlineStr">
        <is>
          <t>IDV</t>
        </is>
      </c>
      <c r="B30" s="41" t="inlineStr">
        <is>
          <t>IDV-06</t>
        </is>
      </c>
      <c r="C30" s="40" t="inlineStr">
        <is>
          <t>Plaqueta/etiqueta do fabricante (ano, modelo, pintura)</t>
        </is>
      </c>
      <c r="D30" s="40" t="inlineStr">
        <is>
          <t>Coerência com o documento; ausência é registrada.</t>
        </is>
      </c>
      <c r="E30" s="35" t="n"/>
      <c r="F30" s="36" t="n"/>
      <c r="G30" s="37" t="n"/>
      <c r="H30" s="38" t="inlineStr">
        <is>
          <t>SIM</t>
        </is>
      </c>
    </row>
    <row r="31" ht="27" customHeight="1">
      <c r="A31" s="38" t="inlineStr">
        <is>
          <t>IDV</t>
        </is>
      </c>
      <c r="B31" s="41" t="inlineStr">
        <is>
          <t>IDV-07</t>
        </is>
      </c>
      <c r="C31" s="40" t="inlineStr">
        <is>
          <t>Placas: padrão, fixação e lacre/QR Code</t>
        </is>
      </c>
      <c r="D31" s="40" t="inlineStr">
        <is>
          <t>Padrão vigente, legibilidade, QR Code quando aplicável.</t>
        </is>
      </c>
      <c r="E31" s="35" t="n"/>
      <c r="F31" s="36" t="n"/>
      <c r="G31" s="37" t="n"/>
      <c r="H31" s="38" t="inlineStr">
        <is>
          <t>SIM</t>
        </is>
      </c>
    </row>
    <row r="32" ht="27" customHeight="1">
      <c r="A32" s="38" t="inlineStr">
        <is>
          <t>IDV</t>
        </is>
      </c>
      <c r="B32" s="41" t="inlineStr">
        <is>
          <t>IDV-08</t>
        </is>
      </c>
      <c r="C32" s="40" t="inlineStr">
        <is>
          <t>Ano de fabricação coerente com os componentes datados</t>
        </is>
      </c>
      <c r="D32" s="40" t="inlineStr">
        <is>
          <t>Vidros, cintos, pneus originais e etiquetas compatíveis com o ano.</t>
        </is>
      </c>
      <c r="E32" s="35" t="n"/>
      <c r="F32" s="36" t="n"/>
      <c r="G32" s="37" t="n"/>
      <c r="H32" s="38" t="inlineStr">
        <is>
          <t>—</t>
        </is>
      </c>
    </row>
    <row r="33" ht="27" customHeight="1">
      <c r="A33" s="38" t="inlineStr">
        <is>
          <t>IDV</t>
        </is>
      </c>
      <c r="B33" s="39" t="inlineStr">
        <is>
          <t>IDV-09</t>
        </is>
      </c>
      <c r="C33" s="40" t="inlineStr">
        <is>
          <t>Conferência cruzada concluída</t>
        </is>
      </c>
      <c r="D33" s="40" t="inlineStr">
        <is>
          <t>Todos os elementos convergem? Se algum não pôde ser verificado, a classificação é INCONCLUSIVO.</t>
        </is>
      </c>
      <c r="E33" s="35" t="n"/>
      <c r="F33" s="36" t="n"/>
      <c r="G33" s="37" t="n"/>
      <c r="H33" s="38" t="inlineStr">
        <is>
          <t>—</t>
        </is>
      </c>
    </row>
    <row r="34" ht="27" customHeight="1">
      <c r="A34" s="32" t="inlineStr">
        <is>
          <t>EST</t>
        </is>
      </c>
      <c r="B34" s="42" t="inlineStr">
        <is>
          <t>EST-01</t>
        </is>
      </c>
      <c r="C34" s="34" t="inlineStr">
        <is>
          <t>Longarinas dianteiras (ponteiras e corpo)</t>
        </is>
      </c>
      <c r="D34" s="34" t="inlineStr">
        <is>
          <t>Pontos de solda de fábrica, vincos, cortes, massa, pintura fora do padrão.</t>
        </is>
      </c>
      <c r="E34" s="35" t="n"/>
      <c r="F34" s="36" t="n"/>
      <c r="G34" s="37" t="n"/>
      <c r="H34" s="32" t="inlineStr">
        <is>
          <t>SIM</t>
        </is>
      </c>
    </row>
    <row r="35" ht="27" customHeight="1">
      <c r="A35" s="32" t="inlineStr">
        <is>
          <t>EST</t>
        </is>
      </c>
      <c r="B35" s="33" t="inlineStr">
        <is>
          <t>EST-02</t>
        </is>
      </c>
      <c r="C35" s="34" t="inlineStr">
        <is>
          <t>Painel frontal (quadro do radiador) e travessa</t>
        </is>
      </c>
      <c r="D35" s="34" t="inlineStr">
        <is>
          <t>Fixação original (solda ponto ou parafuso), alinhamento, peça nova.</t>
        </is>
      </c>
      <c r="E35" s="35" t="n"/>
      <c r="F35" s="36" t="n"/>
      <c r="G35" s="37" t="n"/>
      <c r="H35" s="32" t="inlineStr">
        <is>
          <t>SIM</t>
        </is>
      </c>
    </row>
    <row r="36" ht="15" customHeight="1">
      <c r="A36" s="32" t="inlineStr">
        <is>
          <t>EST</t>
        </is>
      </c>
      <c r="B36" s="42" t="inlineStr">
        <is>
          <t>EST-03</t>
        </is>
      </c>
      <c r="C36" s="34" t="inlineStr">
        <is>
          <t>Torres de suspensão dianteiras</t>
        </is>
      </c>
      <c r="D36" s="34" t="inlineStr">
        <is>
          <t>Simetria, soldas, rugas, selador e pintura.</t>
        </is>
      </c>
      <c r="E36" s="35" t="n"/>
      <c r="F36" s="36" t="n"/>
      <c r="G36" s="37" t="n"/>
      <c r="H36" s="32" t="inlineStr">
        <is>
          <t>SIM</t>
        </is>
      </c>
    </row>
    <row r="37" ht="15" customHeight="1">
      <c r="A37" s="32" t="inlineStr">
        <is>
          <t>EST</t>
        </is>
      </c>
      <c r="B37" s="33" t="inlineStr">
        <is>
          <t>EST-04</t>
        </is>
      </c>
      <c r="C37" s="34" t="inlineStr">
        <is>
          <t>Caixas de roda dianteiras e aventais</t>
        </is>
      </c>
      <c r="D37" s="34" t="inlineStr">
        <is>
          <t>Vincos, emendas, massa, desalinhamento.</t>
        </is>
      </c>
      <c r="E37" s="35" t="n"/>
      <c r="F37" s="36" t="n"/>
      <c r="G37" s="37" t="n"/>
      <c r="H37" s="32" t="inlineStr">
        <is>
          <t>SIM</t>
        </is>
      </c>
    </row>
    <row r="38" ht="15" customHeight="1">
      <c r="A38" s="32" t="inlineStr">
        <is>
          <t>EST</t>
        </is>
      </c>
      <c r="B38" s="42" t="inlineStr">
        <is>
          <t>EST-05</t>
        </is>
      </c>
      <c r="C38" s="34" t="inlineStr">
        <is>
          <t>Painel corta-fogo</t>
        </is>
      </c>
      <c r="D38" s="34" t="inlineStr">
        <is>
          <t>Deformações, soldas e selador fora de padrão.</t>
        </is>
      </c>
      <c r="E38" s="35" t="n"/>
      <c r="F38" s="36" t="n"/>
      <c r="G38" s="37" t="n"/>
      <c r="H38" s="32" t="inlineStr">
        <is>
          <t>SIM</t>
        </is>
      </c>
    </row>
    <row r="39" ht="27" customHeight="1">
      <c r="A39" s="32" t="inlineStr">
        <is>
          <t>EST</t>
        </is>
      </c>
      <c r="B39" s="42" t="inlineStr">
        <is>
          <t>EST-06</t>
        </is>
      </c>
      <c r="C39" s="34" t="inlineStr">
        <is>
          <t>Colunas A, B e C</t>
        </is>
      </c>
      <c r="D39" s="34" t="inlineStr">
        <is>
          <t>Emendas, solda contínua, massa sob borrachas e acabamentos.</t>
        </is>
      </c>
      <c r="E39" s="35" t="n"/>
      <c r="F39" s="36" t="n"/>
      <c r="G39" s="37" t="n"/>
      <c r="H39" s="32" t="inlineStr">
        <is>
          <t>SIM</t>
        </is>
      </c>
    </row>
    <row r="40" ht="27" customHeight="1">
      <c r="A40" s="32" t="inlineStr">
        <is>
          <t>EST</t>
        </is>
      </c>
      <c r="B40" s="42" t="inlineStr">
        <is>
          <t>EST-07</t>
        </is>
      </c>
      <c r="C40" s="34" t="inlineStr">
        <is>
          <t>Soleiras (caixas de ar)</t>
        </is>
      </c>
      <c r="D40" s="34" t="inlineStr">
        <is>
          <t>Amassados, emendas, pontos de macaco deformados, corrosão.</t>
        </is>
      </c>
      <c r="E40" s="35" t="n"/>
      <c r="F40" s="36" t="n"/>
      <c r="G40" s="37" t="n"/>
      <c r="H40" s="32" t="inlineStr">
        <is>
          <t>SIM</t>
        </is>
      </c>
    </row>
    <row r="41" ht="15" customHeight="1">
      <c r="A41" s="32" t="inlineStr">
        <is>
          <t>EST</t>
        </is>
      </c>
      <c r="B41" s="42" t="inlineStr">
        <is>
          <t>EST-08</t>
        </is>
      </c>
      <c r="C41" s="34" t="inlineStr">
        <is>
          <t>Assoalho e túnel central</t>
        </is>
      </c>
      <c r="D41" s="34" t="inlineStr">
        <is>
          <t>Vincos, soldas, remendos, corrosão perfurante.</t>
        </is>
      </c>
      <c r="E41" s="35" t="n"/>
      <c r="F41" s="36" t="n"/>
      <c r="G41" s="37" t="n"/>
      <c r="H41" s="32" t="inlineStr">
        <is>
          <t>SIM</t>
        </is>
      </c>
    </row>
    <row r="42" ht="27" customHeight="1">
      <c r="A42" s="32" t="inlineStr">
        <is>
          <t>EST</t>
        </is>
      </c>
      <c r="B42" s="42" t="inlineStr">
        <is>
          <t>EST-09</t>
        </is>
      </c>
      <c r="C42" s="34" t="inlineStr">
        <is>
          <t>Longarinas traseiras e assoalho do porta-malas</t>
        </is>
      </c>
      <c r="D42" s="34" t="inlineStr">
        <is>
          <t>Ondulações, emendas, estepe deformado, selador fora de padrão.</t>
        </is>
      </c>
      <c r="E42" s="35" t="n"/>
      <c r="F42" s="36" t="n"/>
      <c r="G42" s="37" t="n"/>
      <c r="H42" s="32" t="inlineStr">
        <is>
          <t>SIM</t>
        </is>
      </c>
    </row>
    <row r="43" ht="27" customHeight="1">
      <c r="A43" s="32" t="inlineStr">
        <is>
          <t>EST</t>
        </is>
      </c>
      <c r="B43" s="33" t="inlineStr">
        <is>
          <t>EST-10</t>
        </is>
      </c>
      <c r="C43" s="34" t="inlineStr">
        <is>
          <t>Painel traseiro (saia) e travessa traseira</t>
        </is>
      </c>
      <c r="D43" s="34" t="inlineStr">
        <is>
          <t>Solda, massa e alinhamento com lanternas e tampa.</t>
        </is>
      </c>
      <c r="E43" s="35" t="n"/>
      <c r="F43" s="36" t="n"/>
      <c r="G43" s="37" t="n"/>
      <c r="H43" s="32" t="inlineStr">
        <is>
          <t>SIM</t>
        </is>
      </c>
    </row>
    <row r="44" ht="15" customHeight="1">
      <c r="A44" s="32" t="inlineStr">
        <is>
          <t>EST</t>
        </is>
      </c>
      <c r="B44" s="42" t="inlineStr">
        <is>
          <t>EST-11</t>
        </is>
      </c>
      <c r="C44" s="34" t="inlineStr">
        <is>
          <t>Teto e colunas internas (sob o forro)</t>
        </is>
      </c>
      <c r="D44" s="34" t="inlineStr">
        <is>
          <t>Ondulação, emenda, repintura do teto.</t>
        </is>
      </c>
      <c r="E44" s="35" t="n"/>
      <c r="F44" s="36" t="n"/>
      <c r="G44" s="37" t="n"/>
      <c r="H44" s="32" t="inlineStr">
        <is>
          <t>SIM</t>
        </is>
      </c>
    </row>
    <row r="45" ht="27" customHeight="1">
      <c r="A45" s="32" t="inlineStr">
        <is>
          <t>EST</t>
        </is>
      </c>
      <c r="B45" s="42" t="inlineStr">
        <is>
          <t>EST-12</t>
        </is>
      </c>
      <c r="C45" s="34" t="inlineStr">
        <is>
          <t>Pontos de fixação da suspensão traseira</t>
        </is>
      </c>
      <c r="D45" s="34" t="inlineStr">
        <is>
          <t>Deformação, solda, suportes desalinhados.</t>
        </is>
      </c>
      <c r="E45" s="35" t="n"/>
      <c r="F45" s="36" t="n"/>
      <c r="G45" s="37" t="n"/>
      <c r="H45" s="32" t="inlineStr">
        <is>
          <t>SIM</t>
        </is>
      </c>
    </row>
    <row r="46" ht="27" customHeight="1">
      <c r="A46" s="32" t="inlineStr">
        <is>
          <t>EST</t>
        </is>
      </c>
      <c r="B46" s="42" t="inlineStr">
        <is>
          <t>EST-13</t>
        </is>
      </c>
      <c r="C46" s="34" t="inlineStr">
        <is>
          <t>Corrosão estrutural</t>
        </is>
      </c>
      <c r="D46" s="34" t="inlineStr">
        <is>
          <t>Diferenciar corrosão superficial de perfurante em peça estrutural.</t>
        </is>
      </c>
      <c r="E46" s="35" t="n"/>
      <c r="F46" s="36" t="n"/>
      <c r="G46" s="37" t="n"/>
      <c r="H46" s="32" t="inlineStr">
        <is>
          <t>SIM</t>
        </is>
      </c>
    </row>
    <row r="47" ht="15" customHeight="1">
      <c r="A47" s="38" t="inlineStr">
        <is>
          <t>CAR</t>
        </is>
      </c>
      <c r="B47" s="41" t="inlineStr">
        <is>
          <t>CAR-01</t>
        </is>
      </c>
      <c r="C47" s="40" t="inlineStr">
        <is>
          <t>Vãos e faceamento entre peças</t>
        </is>
      </c>
      <c r="D47" s="40" t="inlineStr">
        <is>
          <t>Folgas uniformes e simétricas nos dois lados.</t>
        </is>
      </c>
      <c r="E47" s="35" t="n"/>
      <c r="F47" s="36" t="n"/>
      <c r="G47" s="37" t="n"/>
      <c r="H47" s="38" t="inlineStr">
        <is>
          <t>SIM</t>
        </is>
      </c>
    </row>
    <row r="48" ht="27" customHeight="1">
      <c r="A48" s="38" t="inlineStr">
        <is>
          <t>CAR</t>
        </is>
      </c>
      <c r="B48" s="41" t="inlineStr">
        <is>
          <t>CAR-02</t>
        </is>
      </c>
      <c r="C48" s="40" t="inlineStr">
        <is>
          <t>Parafusos de fixação (paralamas, portas, capô, tampa)</t>
        </is>
      </c>
      <c r="D48" s="40" t="inlineStr">
        <is>
          <t>Pintura intacta na cabeça do parafuso; marcas de ferramenta.</t>
        </is>
      </c>
      <c r="E48" s="35" t="n"/>
      <c r="F48" s="36" t="n"/>
      <c r="G48" s="37" t="n"/>
      <c r="H48" s="38" t="inlineStr">
        <is>
          <t>SIM</t>
        </is>
      </c>
    </row>
    <row r="49" ht="27" customHeight="1">
      <c r="A49" s="38" t="inlineStr">
        <is>
          <t>CAR</t>
        </is>
      </c>
      <c r="B49" s="41" t="inlineStr">
        <is>
          <t>CAR-03</t>
        </is>
      </c>
      <c r="C49" s="40" t="inlineStr">
        <is>
          <t>Medição de espessura peça a peça</t>
        </is>
      </c>
      <c r="D49" s="40" t="inlineStr">
        <is>
          <t>Grade de medição, comparação entre peças do próprio veículo.</t>
        </is>
      </c>
      <c r="E49" s="35" t="n"/>
      <c r="F49" s="36" t="n"/>
      <c r="G49" s="37" t="n"/>
      <c r="H49" s="38" t="inlineStr">
        <is>
          <t>SIM</t>
        </is>
      </c>
    </row>
    <row r="50" ht="27" customHeight="1">
      <c r="A50" s="38" t="inlineStr">
        <is>
          <t>CAR</t>
        </is>
      </c>
      <c r="B50" s="41" t="inlineStr">
        <is>
          <t>CAR-04</t>
        </is>
      </c>
      <c r="C50" s="40" t="inlineStr">
        <is>
          <t>Diferença de tonalidade e textura</t>
        </is>
      </c>
      <c r="D50" s="40" t="inlineStr">
        <is>
          <t>Luz rasante e ângulos; casca de laranja, brilho diferente.</t>
        </is>
      </c>
      <c r="E50" s="35" t="n"/>
      <c r="F50" s="36" t="n"/>
      <c r="G50" s="37" t="n"/>
      <c r="H50" s="38" t="inlineStr">
        <is>
          <t>SIM</t>
        </is>
      </c>
    </row>
    <row r="51" ht="27" customHeight="1">
      <c r="A51" s="38" t="inlineStr">
        <is>
          <t>CAR</t>
        </is>
      </c>
      <c r="B51" s="41" t="inlineStr">
        <is>
          <t>CAR-05</t>
        </is>
      </c>
      <c r="C51" s="40" t="inlineStr">
        <is>
          <t>Overspray (névoa de tinta) em borrachas, frisos e vidros</t>
        </is>
      </c>
      <c r="D51" s="40" t="inlineStr">
        <is>
          <t>Bordas, borrachas, plásticos, emblemas.</t>
        </is>
      </c>
      <c r="E51" s="35" t="n"/>
      <c r="F51" s="36" t="n"/>
      <c r="G51" s="37" t="n"/>
      <c r="H51" s="38" t="inlineStr">
        <is>
          <t>SIM</t>
        </is>
      </c>
    </row>
    <row r="52" ht="27" customHeight="1">
      <c r="A52" s="38" t="inlineStr">
        <is>
          <t>CAR</t>
        </is>
      </c>
      <c r="B52" s="41" t="inlineStr">
        <is>
          <t>CAR-06</t>
        </is>
      </c>
      <c r="C52" s="40" t="inlineStr">
        <is>
          <t>Massa, ondulação e marcas de lixa</t>
        </is>
      </c>
      <c r="D52" s="40" t="inlineStr">
        <is>
          <t>Reflexo de linhas retas na lataria; tato com a palma da mão.</t>
        </is>
      </c>
      <c r="E52" s="35" t="n"/>
      <c r="F52" s="36" t="n"/>
      <c r="G52" s="37" t="n"/>
      <c r="H52" s="38" t="inlineStr">
        <is>
          <t>SIM</t>
        </is>
      </c>
    </row>
    <row r="53" ht="27" customHeight="1">
      <c r="A53" s="38" t="inlineStr">
        <is>
          <t>CAR</t>
        </is>
      </c>
      <c r="B53" s="41" t="inlineStr">
        <is>
          <t>CAR-07</t>
        </is>
      </c>
      <c r="C53" s="40" t="inlineStr">
        <is>
          <t>Bordas e dobras internas das peças móveis</t>
        </is>
      </c>
      <c r="D53" s="40" t="inlineStr">
        <is>
          <t>Selador de fábrica x selador aplicado à mão; dobra da chapa.</t>
        </is>
      </c>
      <c r="E53" s="35" t="n"/>
      <c r="F53" s="36" t="n"/>
      <c r="G53" s="37" t="n"/>
      <c r="H53" s="38" t="inlineStr">
        <is>
          <t>SIM</t>
        </is>
      </c>
    </row>
    <row r="54" ht="15" customHeight="1">
      <c r="A54" s="38" t="inlineStr">
        <is>
          <t>CAR</t>
        </is>
      </c>
      <c r="B54" s="41" t="inlineStr">
        <is>
          <t>CAR-08</t>
        </is>
      </c>
      <c r="C54" s="40" t="inlineStr">
        <is>
          <t>Para-choques e fixações plásticas</t>
        </is>
      </c>
      <c r="D54" s="40" t="inlineStr">
        <is>
          <t>Presilhas quebradas, reparo plástico, repintura.</t>
        </is>
      </c>
      <c r="E54" s="35" t="n"/>
      <c r="F54" s="36" t="n"/>
      <c r="G54" s="37" t="n"/>
      <c r="H54" s="38" t="inlineStr">
        <is>
          <t>SIM</t>
        </is>
      </c>
    </row>
    <row r="55" ht="27" customHeight="1">
      <c r="A55" s="38" t="inlineStr">
        <is>
          <t>CAR</t>
        </is>
      </c>
      <c r="B55" s="41" t="inlineStr">
        <is>
          <t>CAR-09</t>
        </is>
      </c>
      <c r="C55" s="40" t="inlineStr">
        <is>
          <t>Portas: dobradiças e batentes</t>
        </is>
      </c>
      <c r="D55" s="40" t="inlineStr">
        <is>
          <t>Dobradiças com marca de ferramenta, batente reposicionado.</t>
        </is>
      </c>
      <c r="E55" s="35" t="n"/>
      <c r="F55" s="36" t="n"/>
      <c r="G55" s="37" t="n"/>
      <c r="H55" s="38" t="inlineStr">
        <is>
          <t>SIM</t>
        </is>
      </c>
    </row>
    <row r="56" ht="27" customHeight="1">
      <c r="A56" s="38" t="inlineStr">
        <is>
          <t>CAR</t>
        </is>
      </c>
      <c r="B56" s="41" t="inlineStr">
        <is>
          <t>CAR-10</t>
        </is>
      </c>
      <c r="C56" s="40" t="inlineStr">
        <is>
          <t>Capô e tampa traseira: dobradiças e fechaduras</t>
        </is>
      </c>
      <c r="D56" s="40" t="inlineStr">
        <is>
          <t>Alinhamento, parafusos, amortecedores.</t>
        </is>
      </c>
      <c r="E56" s="35" t="n"/>
      <c r="F56" s="36" t="n"/>
      <c r="G56" s="37" t="n"/>
      <c r="H56" s="38" t="inlineStr">
        <is>
          <t>SIM</t>
        </is>
      </c>
    </row>
    <row r="57" ht="15" customHeight="1">
      <c r="A57" s="38" t="inlineStr">
        <is>
          <t>CAR</t>
        </is>
      </c>
      <c r="B57" s="41" t="inlineStr">
        <is>
          <t>CAR-11</t>
        </is>
      </c>
      <c r="C57" s="40" t="inlineStr">
        <is>
          <t>Emblemas, frisos e adesivos</t>
        </is>
      </c>
      <c r="D57" s="40" t="inlineStr">
        <is>
          <t>Posição, cola, ausência sem justificativa.</t>
        </is>
      </c>
      <c r="E57" s="35" t="n"/>
      <c r="F57" s="36" t="n"/>
      <c r="G57" s="37" t="n"/>
      <c r="H57" s="38" t="inlineStr">
        <is>
          <t>—</t>
        </is>
      </c>
    </row>
    <row r="58" ht="27" customHeight="1">
      <c r="A58" s="38" t="inlineStr">
        <is>
          <t>CAR</t>
        </is>
      </c>
      <c r="B58" s="41" t="inlineStr">
        <is>
          <t>CAR-12</t>
        </is>
      </c>
      <c r="C58" s="40" t="inlineStr">
        <is>
          <t>Granizo, riscos e amassados sem pintura</t>
        </is>
      </c>
      <c r="D58" s="40" t="inlineStr">
        <is>
          <t>Luz rasante; registrar como N1 ou N2 conforme extensão.</t>
        </is>
      </c>
      <c r="E58" s="35" t="n"/>
      <c r="F58" s="36" t="n"/>
      <c r="G58" s="37" t="n"/>
      <c r="H58" s="38" t="inlineStr">
        <is>
          <t>SIM</t>
        </is>
      </c>
    </row>
    <row r="59" ht="27" customHeight="1">
      <c r="A59" s="32" t="inlineStr">
        <is>
          <t>VID</t>
        </is>
      </c>
      <c r="B59" s="33" t="inlineStr">
        <is>
          <t>VID-01</t>
        </is>
      </c>
      <c r="C59" s="34" t="inlineStr">
        <is>
          <t>Para-brisa: trincas, delaminação e marcação</t>
        </is>
      </c>
      <c r="D59" s="34" t="inlineStr">
        <is>
          <t>Trincas no campo de visão, marca do fabricante, data.</t>
        </is>
      </c>
      <c r="E59" s="35" t="n"/>
      <c r="F59" s="36" t="n"/>
      <c r="G59" s="37" t="n"/>
      <c r="H59" s="32" t="inlineStr">
        <is>
          <t>SIM</t>
        </is>
      </c>
    </row>
    <row r="60" ht="27" customHeight="1">
      <c r="A60" s="32" t="inlineStr">
        <is>
          <t>VID</t>
        </is>
      </c>
      <c r="B60" s="33" t="inlineStr">
        <is>
          <t>VID-02</t>
        </is>
      </c>
      <c r="C60" s="34" t="inlineStr">
        <is>
          <t>Datas dos vidros coerentes entre si e com o ano</t>
        </is>
      </c>
      <c r="D60" s="34" t="inlineStr">
        <is>
          <t>Vidro com data divergente indica substituição — investigar o motivo.</t>
        </is>
      </c>
      <c r="E60" s="35" t="n"/>
      <c r="F60" s="36" t="n"/>
      <c r="G60" s="37" t="n"/>
      <c r="H60" s="32" t="inlineStr">
        <is>
          <t>SIM</t>
        </is>
      </c>
    </row>
    <row r="61" ht="27" customHeight="1">
      <c r="A61" s="32" t="inlineStr">
        <is>
          <t>VID</t>
        </is>
      </c>
      <c r="B61" s="33" t="inlineStr">
        <is>
          <t>VID-03</t>
        </is>
      </c>
      <c r="C61" s="34" t="inlineStr">
        <is>
          <t>Vidros laterais e traseiro</t>
        </is>
      </c>
      <c r="D61" s="34" t="inlineStr">
        <is>
          <t>Marca, data, gravação, película dentro do permitido.</t>
        </is>
      </c>
      <c r="E61" s="35" t="n"/>
      <c r="F61" s="36" t="n"/>
      <c r="G61" s="37" t="n"/>
      <c r="H61" s="32" t="inlineStr">
        <is>
          <t>SIM</t>
        </is>
      </c>
    </row>
    <row r="62" ht="27" customHeight="1">
      <c r="A62" s="32" t="inlineStr">
        <is>
          <t>VID</t>
        </is>
      </c>
      <c r="B62" s="33" t="inlineStr">
        <is>
          <t>VID-04</t>
        </is>
      </c>
      <c r="C62" s="34" t="inlineStr">
        <is>
          <t>Faróis: lente, fixação, umidade e data</t>
        </is>
      </c>
      <c r="D62" s="34" t="inlineStr">
        <is>
          <t>Farol trocado de um só lado indica impacto frontal lateral.</t>
        </is>
      </c>
      <c r="E62" s="35" t="n"/>
      <c r="F62" s="36" t="n"/>
      <c r="G62" s="37" t="n"/>
      <c r="H62" s="32" t="inlineStr">
        <is>
          <t>SIM</t>
        </is>
      </c>
    </row>
    <row r="63" ht="15" customHeight="1">
      <c r="A63" s="32" t="inlineStr">
        <is>
          <t>VID</t>
        </is>
      </c>
      <c r="B63" s="33" t="inlineStr">
        <is>
          <t>VID-05</t>
        </is>
      </c>
      <c r="C63" s="34" t="inlineStr">
        <is>
          <t>Lanternas, luz de freio e ré</t>
        </is>
      </c>
      <c r="D63" s="34" t="inlineStr">
        <is>
          <t>Funcionamento e originalidade.</t>
        </is>
      </c>
      <c r="E63" s="35" t="n"/>
      <c r="F63" s="36" t="n"/>
      <c r="G63" s="37" t="n"/>
      <c r="H63" s="32" t="inlineStr">
        <is>
          <t>—</t>
        </is>
      </c>
    </row>
    <row r="64" ht="15" customHeight="1">
      <c r="A64" s="32" t="inlineStr">
        <is>
          <t>VID</t>
        </is>
      </c>
      <c r="B64" s="33" t="inlineStr">
        <is>
          <t>VID-06</t>
        </is>
      </c>
      <c r="C64" s="34" t="inlineStr">
        <is>
          <t>Setas, pisca-alerta e luz de placa</t>
        </is>
      </c>
      <c r="D64" s="34" t="inlineStr">
        <is>
          <t>Funcionamento.</t>
        </is>
      </c>
      <c r="E64" s="35" t="n"/>
      <c r="F64" s="36" t="n"/>
      <c r="G64" s="37" t="n"/>
      <c r="H64" s="32" t="inlineStr">
        <is>
          <t>—</t>
        </is>
      </c>
    </row>
    <row r="65" ht="15" customHeight="1">
      <c r="A65" s="32" t="inlineStr">
        <is>
          <t>VID</t>
        </is>
      </c>
      <c r="B65" s="33" t="inlineStr">
        <is>
          <t>VID-07</t>
        </is>
      </c>
      <c r="C65" s="34" t="inlineStr">
        <is>
          <t>Retrovisores e limpadores</t>
        </is>
      </c>
      <c r="D65" s="34" t="inlineStr">
        <is>
          <t>Regulagem, espelho, palhetas, esguicho.</t>
        </is>
      </c>
      <c r="E65" s="35" t="n"/>
      <c r="F65" s="36" t="n"/>
      <c r="G65" s="37" t="n"/>
      <c r="H65" s="32" t="inlineStr">
        <is>
          <t>—</t>
        </is>
      </c>
    </row>
    <row r="66" ht="15" customHeight="1">
      <c r="A66" s="32" t="inlineStr">
        <is>
          <t>VID</t>
        </is>
      </c>
      <c r="B66" s="33" t="inlineStr">
        <is>
          <t>VID-08</t>
        </is>
      </c>
      <c r="C66" s="34" t="inlineStr">
        <is>
          <t>Buzina</t>
        </is>
      </c>
      <c r="D66" s="34" t="inlineStr">
        <is>
          <t>Funcionamento.</t>
        </is>
      </c>
      <c r="E66" s="35" t="n"/>
      <c r="F66" s="36" t="n"/>
      <c r="G66" s="37" t="n"/>
      <c r="H66" s="32" t="inlineStr">
        <is>
          <t>—</t>
        </is>
      </c>
    </row>
    <row r="67" ht="27" customHeight="1">
      <c r="A67" s="38" t="inlineStr">
        <is>
          <t>RSP</t>
        </is>
      </c>
      <c r="B67" s="41" t="inlineStr">
        <is>
          <t>RSP-01</t>
        </is>
      </c>
      <c r="C67" s="40" t="inlineStr">
        <is>
          <t>Profundidade de sulco (4 pneus + estepe)</t>
        </is>
      </c>
      <c r="D67" s="40" t="inlineStr">
        <is>
          <t>Medir com profundímetro; TWI é o limite legal.</t>
        </is>
      </c>
      <c r="E67" s="35" t="n"/>
      <c r="F67" s="36" t="n"/>
      <c r="G67" s="37" t="n"/>
      <c r="H67" s="38" t="inlineStr">
        <is>
          <t>SIM</t>
        </is>
      </c>
    </row>
    <row r="68" ht="27" customHeight="1">
      <c r="A68" s="38" t="inlineStr">
        <is>
          <t>RSP</t>
        </is>
      </c>
      <c r="B68" s="41" t="inlineStr">
        <is>
          <t>RSP-02</t>
        </is>
      </c>
      <c r="C68" s="40" t="inlineStr">
        <is>
          <t>DOT: idade dos pneus</t>
        </is>
      </c>
      <c r="D68" s="40" t="inlineStr">
        <is>
          <t>Semana e ano de fabricação; pneus desiguais no mesmo eixo.</t>
        </is>
      </c>
      <c r="E68" s="35" t="n"/>
      <c r="F68" s="36" t="n"/>
      <c r="G68" s="37" t="n"/>
      <c r="H68" s="38" t="inlineStr">
        <is>
          <t>SIM</t>
        </is>
      </c>
    </row>
    <row r="69" ht="27" customHeight="1">
      <c r="A69" s="38" t="inlineStr">
        <is>
          <t>RSP</t>
        </is>
      </c>
      <c r="B69" s="41" t="inlineStr">
        <is>
          <t>RSP-03</t>
        </is>
      </c>
      <c r="C69" s="40" t="inlineStr">
        <is>
          <t>Desgaste irregular</t>
        </is>
      </c>
      <c r="D69" s="40" t="inlineStr">
        <is>
          <t>Borda interna/externa, centro, escamado — relacionar com geometria e suspensão.</t>
        </is>
      </c>
      <c r="E69" s="35" t="n"/>
      <c r="F69" s="36" t="n"/>
      <c r="G69" s="37" t="n"/>
      <c r="H69" s="38" t="inlineStr">
        <is>
          <t>SIM</t>
        </is>
      </c>
    </row>
    <row r="70" ht="15" customHeight="1">
      <c r="A70" s="38" t="inlineStr">
        <is>
          <t>RSP</t>
        </is>
      </c>
      <c r="B70" s="41" t="inlineStr">
        <is>
          <t>RSP-04</t>
        </is>
      </c>
      <c r="C70" s="40" t="inlineStr">
        <is>
          <t>Rodas: empeno, trinca, solda, reparo</t>
        </is>
      </c>
      <c r="D70" s="40" t="inlineStr">
        <is>
          <t>Face e aro interno.</t>
        </is>
      </c>
      <c r="E70" s="35" t="n"/>
      <c r="F70" s="36" t="n"/>
      <c r="G70" s="37" t="n"/>
      <c r="H70" s="38" t="inlineStr">
        <is>
          <t>SIM</t>
        </is>
      </c>
    </row>
    <row r="71" ht="15" customHeight="1">
      <c r="A71" s="38" t="inlineStr">
        <is>
          <t>RSP</t>
        </is>
      </c>
      <c r="B71" s="41" t="inlineStr">
        <is>
          <t>RSP-05</t>
        </is>
      </c>
      <c r="C71" s="40" t="inlineStr">
        <is>
          <t>Amortecedores: vazamento e batentes</t>
        </is>
      </c>
      <c r="D71" s="40" t="inlineStr">
        <is>
          <t>Óleo no corpo, coifas, teste de balanço.</t>
        </is>
      </c>
      <c r="E71" s="35" t="n"/>
      <c r="F71" s="36" t="n"/>
      <c r="G71" s="37" t="n"/>
      <c r="H71" s="38" t="inlineStr">
        <is>
          <t>SIM</t>
        </is>
      </c>
    </row>
    <row r="72" ht="15" customHeight="1">
      <c r="A72" s="38" t="inlineStr">
        <is>
          <t>RSP</t>
        </is>
      </c>
      <c r="B72" s="41" t="inlineStr">
        <is>
          <t>RSP-06</t>
        </is>
      </c>
      <c r="C72" s="40" t="inlineStr">
        <is>
          <t>Bandejas, pivôs, buchas e terminais</t>
        </is>
      </c>
      <c r="D72" s="40" t="inlineStr">
        <is>
          <t>Folgas, buchas rachadas, bandeja empenada.</t>
        </is>
      </c>
      <c r="E72" s="35" t="n"/>
      <c r="F72" s="36" t="n"/>
      <c r="G72" s="37" t="n"/>
      <c r="H72" s="38" t="inlineStr">
        <is>
          <t>SIM</t>
        </is>
      </c>
    </row>
    <row r="73" ht="15" customHeight="1">
      <c r="A73" s="38" t="inlineStr">
        <is>
          <t>RSP</t>
        </is>
      </c>
      <c r="B73" s="41" t="inlineStr">
        <is>
          <t>RSP-07</t>
        </is>
      </c>
      <c r="C73" s="40" t="inlineStr">
        <is>
          <t>Caixa de direção e coifas</t>
        </is>
      </c>
      <c r="D73" s="40" t="inlineStr">
        <is>
          <t>Vazamento, folga, coifa rasgada.</t>
        </is>
      </c>
      <c r="E73" s="35" t="n"/>
      <c r="F73" s="36" t="n"/>
      <c r="G73" s="37" t="n"/>
      <c r="H73" s="38" t="inlineStr">
        <is>
          <t>SIM</t>
        </is>
      </c>
    </row>
    <row r="74" ht="27" customHeight="1">
      <c r="A74" s="38" t="inlineStr">
        <is>
          <t>RSP</t>
        </is>
      </c>
      <c r="B74" s="41" t="inlineStr">
        <is>
          <t>RSP-08</t>
        </is>
      </c>
      <c r="C74" s="40" t="inlineStr">
        <is>
          <t>Geometria aparente (roda alinhada ao para-lama)</t>
        </is>
      </c>
      <c r="D74" s="40" t="inlineStr">
        <is>
          <t>Posição da roda no vão dos dois lados; cambagem visível.</t>
        </is>
      </c>
      <c r="E74" s="35" t="n"/>
      <c r="F74" s="36" t="n"/>
      <c r="G74" s="37" t="n"/>
      <c r="H74" s="38" t="inlineStr">
        <is>
          <t>SIM</t>
        </is>
      </c>
    </row>
    <row r="75" ht="27" customHeight="1">
      <c r="A75" s="38" t="inlineStr">
        <is>
          <t>RSP</t>
        </is>
      </c>
      <c r="B75" s="41" t="inlineStr">
        <is>
          <t>RSP-09</t>
        </is>
      </c>
      <c r="C75" s="40" t="inlineStr">
        <is>
          <t>Estepe, macaco, chave de roda e triângulo</t>
        </is>
      </c>
      <c r="D75" s="40" t="inlineStr">
        <is>
          <t>Presença e estado (triângulo é obrigatório).</t>
        </is>
      </c>
      <c r="E75" s="35" t="n"/>
      <c r="F75" s="36" t="n"/>
      <c r="G75" s="37" t="n"/>
      <c r="H75" s="38" t="inlineStr">
        <is>
          <t>SIM</t>
        </is>
      </c>
    </row>
    <row r="76" ht="27" customHeight="1">
      <c r="A76" s="32" t="inlineStr">
        <is>
          <t>MOT</t>
        </is>
      </c>
      <c r="B76" s="33" t="inlineStr">
        <is>
          <t>MOT-01</t>
        </is>
      </c>
      <c r="C76" s="34" t="inlineStr">
        <is>
          <t>Partida a frio e marcha lenta</t>
        </is>
      </c>
      <c r="D76" s="34" t="inlineStr">
        <is>
          <t>Motor frio ao toque antes da partida; ruídos e estabilidade.</t>
        </is>
      </c>
      <c r="E76" s="35" t="n"/>
      <c r="F76" s="36" t="n"/>
      <c r="G76" s="37" t="n"/>
      <c r="H76" s="32" t="inlineStr">
        <is>
          <t>—</t>
        </is>
      </c>
    </row>
    <row r="77" ht="27" customHeight="1">
      <c r="A77" s="32" t="inlineStr">
        <is>
          <t>MOT</t>
        </is>
      </c>
      <c r="B77" s="33" t="inlineStr">
        <is>
          <t>MOT-02</t>
        </is>
      </c>
      <c r="C77" s="34" t="inlineStr">
        <is>
          <t>Vazamentos de óleo</t>
        </is>
      </c>
      <c r="D77" s="34" t="inlineStr">
        <is>
          <t>Tampa de válvulas, cárter, retentores; distinguir suor de vazamento ativo.</t>
        </is>
      </c>
      <c r="E77" s="35" t="n"/>
      <c r="F77" s="36" t="n"/>
      <c r="G77" s="37" t="n"/>
      <c r="H77" s="32" t="inlineStr">
        <is>
          <t>SIM</t>
        </is>
      </c>
    </row>
    <row r="78" ht="27" customHeight="1">
      <c r="A78" s="32" t="inlineStr">
        <is>
          <t>MOT</t>
        </is>
      </c>
      <c r="B78" s="33" t="inlineStr">
        <is>
          <t>MOT-03</t>
        </is>
      </c>
      <c r="C78" s="34" t="inlineStr">
        <is>
          <t>Óleo: nível, aspecto e tampa de abastecimento</t>
        </is>
      </c>
      <c r="D78" s="34" t="inlineStr">
        <is>
          <t>Borra, emulsão ("maionese"), cheiro de combustível.</t>
        </is>
      </c>
      <c r="E78" s="35" t="n"/>
      <c r="F78" s="36" t="n"/>
      <c r="G78" s="37" t="n"/>
      <c r="H78" s="32" t="inlineStr">
        <is>
          <t>SIM</t>
        </is>
      </c>
    </row>
    <row r="79" ht="27" customHeight="1">
      <c r="A79" s="32" t="inlineStr">
        <is>
          <t>MOT</t>
        </is>
      </c>
      <c r="B79" s="33" t="inlineStr">
        <is>
          <t>MOT-04</t>
        </is>
      </c>
      <c r="C79" s="34" t="inlineStr">
        <is>
          <t>Arrefecimento: nível, cor e reservatório</t>
        </is>
      </c>
      <c r="D79" s="34" t="inlineStr">
        <is>
          <t>Óleo no líquido, ferrugem, reservatório sujo, mangueiras.</t>
        </is>
      </c>
      <c r="E79" s="35" t="n"/>
      <c r="F79" s="36" t="n"/>
      <c r="G79" s="37" t="n"/>
      <c r="H79" s="32" t="inlineStr">
        <is>
          <t>SIM</t>
        </is>
      </c>
    </row>
    <row r="80" ht="15" customHeight="1">
      <c r="A80" s="32" t="inlineStr">
        <is>
          <t>MOT</t>
        </is>
      </c>
      <c r="B80" s="33" t="inlineStr">
        <is>
          <t>MOT-05</t>
        </is>
      </c>
      <c r="C80" s="34" t="inlineStr">
        <is>
          <t>Fumaça no escapamento</t>
        </is>
      </c>
      <c r="D80" s="34" t="inlineStr">
        <is>
          <t>Azulada, branca persistente, preta.</t>
        </is>
      </c>
      <c r="E80" s="35" t="n"/>
      <c r="F80" s="36" t="n"/>
      <c r="G80" s="37" t="n"/>
      <c r="H80" s="32" t="inlineStr">
        <is>
          <t>—</t>
        </is>
      </c>
    </row>
    <row r="81" ht="15" customHeight="1">
      <c r="A81" s="32" t="inlineStr">
        <is>
          <t>MOT</t>
        </is>
      </c>
      <c r="B81" s="33" t="inlineStr">
        <is>
          <t>MOT-06</t>
        </is>
      </c>
      <c r="C81" s="34" t="inlineStr">
        <is>
          <t>Correias e acessórios</t>
        </is>
      </c>
      <c r="D81" s="34" t="inlineStr">
        <is>
          <t>Trincas, ruído, tensor.</t>
        </is>
      </c>
      <c r="E81" s="35" t="n"/>
      <c r="F81" s="36" t="n"/>
      <c r="G81" s="37" t="n"/>
      <c r="H81" s="32" t="inlineStr">
        <is>
          <t>SIM</t>
        </is>
      </c>
    </row>
    <row r="82" ht="15" customHeight="1">
      <c r="A82" s="32" t="inlineStr">
        <is>
          <t>MOT</t>
        </is>
      </c>
      <c r="B82" s="33" t="inlineStr">
        <is>
          <t>MOT-07</t>
        </is>
      </c>
      <c r="C82" s="34" t="inlineStr">
        <is>
          <t>Coxins do motor e câmbio</t>
        </is>
      </c>
      <c r="D82" s="34" t="inlineStr">
        <is>
          <t>Borracha rachada, vibração excessiva ao engatar.</t>
        </is>
      </c>
      <c r="E82" s="35" t="n"/>
      <c r="F82" s="36" t="n"/>
      <c r="G82" s="37" t="n"/>
      <c r="H82" s="32" t="inlineStr">
        <is>
          <t>—</t>
        </is>
      </c>
    </row>
    <row r="83" ht="27" customHeight="1">
      <c r="A83" s="32" t="inlineStr">
        <is>
          <t>MOT</t>
        </is>
      </c>
      <c r="B83" s="33" t="inlineStr">
        <is>
          <t>MOT-08</t>
        </is>
      </c>
      <c r="C83" s="34" t="inlineStr">
        <is>
          <t>Radiador, condensador e eletroventilador</t>
        </is>
      </c>
      <c r="D83" s="34" t="inlineStr">
        <is>
          <t>Aletas amassadas (impacto frontal), suportes, funcionamento.</t>
        </is>
      </c>
      <c r="E83" s="35" t="n"/>
      <c r="F83" s="36" t="n"/>
      <c r="G83" s="37" t="n"/>
      <c r="H83" s="32" t="inlineStr">
        <is>
          <t>SIM</t>
        </is>
      </c>
    </row>
    <row r="84" ht="27" customHeight="1">
      <c r="A84" s="32" t="inlineStr">
        <is>
          <t>MOT</t>
        </is>
      </c>
      <c r="B84" s="33" t="inlineStr">
        <is>
          <t>MOT-09</t>
        </is>
      </c>
      <c r="C84" s="34" t="inlineStr">
        <is>
          <t>Sistema de combustível e GNV</t>
        </is>
      </c>
      <c r="D84" s="34" t="inlineStr">
        <is>
          <t>Cheiro, vazamentos; GNV exige registro no documento e selo/inspeção válidos.</t>
        </is>
      </c>
      <c r="E84" s="35" t="n"/>
      <c r="F84" s="36" t="n"/>
      <c r="G84" s="37" t="n"/>
      <c r="H84" s="32" t="inlineStr">
        <is>
          <t>SIM</t>
        </is>
      </c>
    </row>
    <row r="85" ht="15" customHeight="1">
      <c r="A85" s="32" t="inlineStr">
        <is>
          <t>MOT</t>
        </is>
      </c>
      <c r="B85" s="33" t="inlineStr">
        <is>
          <t>MOT-10</t>
        </is>
      </c>
      <c r="C85" s="34" t="inlineStr">
        <is>
          <t>Escapamento e catalisador</t>
        </is>
      </c>
      <c r="D85" s="34" t="inlineStr">
        <is>
          <t>Vazamentos, suportes, catalisador presente.</t>
        </is>
      </c>
      <c r="E85" s="35" t="n"/>
      <c r="F85" s="36" t="n"/>
      <c r="G85" s="37" t="n"/>
      <c r="H85" s="32" t="inlineStr">
        <is>
          <t>SIM</t>
        </is>
      </c>
    </row>
    <row r="86" ht="27" customHeight="1">
      <c r="A86" s="38" t="inlineStr">
        <is>
          <t>TRF</t>
        </is>
      </c>
      <c r="B86" s="41" t="inlineStr">
        <is>
          <t>TRF-01</t>
        </is>
      </c>
      <c r="C86" s="40" t="inlineStr">
        <is>
          <t>Embreagem: ponto de acionamento e patinação</t>
        </is>
      </c>
      <c r="D86" s="40" t="inlineStr">
        <is>
          <t>Ponto alto indica desgaste; teste de patinação.</t>
        </is>
      </c>
      <c r="E86" s="35" t="n"/>
      <c r="F86" s="36" t="n"/>
      <c r="G86" s="37" t="n"/>
      <c r="H86" s="38" t="inlineStr">
        <is>
          <t>—</t>
        </is>
      </c>
    </row>
    <row r="87" ht="15" customHeight="1">
      <c r="A87" s="38" t="inlineStr">
        <is>
          <t>TRF</t>
        </is>
      </c>
      <c r="B87" s="41" t="inlineStr">
        <is>
          <t>TRF-02</t>
        </is>
      </c>
      <c r="C87" s="40" t="inlineStr">
        <is>
          <t>Câmbio manual: engates e ruídos</t>
        </is>
      </c>
      <c r="D87" s="40" t="inlineStr">
        <is>
          <t>Arranhando, saltando marcha, ruído de rolamento.</t>
        </is>
      </c>
      <c r="E87" s="35" t="n"/>
      <c r="F87" s="36" t="n"/>
      <c r="G87" s="37" t="n"/>
      <c r="H87" s="38" t="inlineStr">
        <is>
          <t>—</t>
        </is>
      </c>
    </row>
    <row r="88" ht="27" customHeight="1">
      <c r="A88" s="38" t="inlineStr">
        <is>
          <t>TRF</t>
        </is>
      </c>
      <c r="B88" s="41" t="inlineStr">
        <is>
          <t>TRF-03</t>
        </is>
      </c>
      <c r="C88" s="40" t="inlineStr">
        <is>
          <t>Câmbio automático/CVT: trocas e trancos</t>
        </is>
      </c>
      <c r="D88" s="40" t="inlineStr">
        <is>
          <t>Trancos, demora no engate, patinação; nível/cor do fluido quando acessível.</t>
        </is>
      </c>
      <c r="E88" s="35" t="n"/>
      <c r="F88" s="36" t="n"/>
      <c r="G88" s="37" t="n"/>
      <c r="H88" s="38" t="inlineStr">
        <is>
          <t>—</t>
        </is>
      </c>
    </row>
    <row r="89" ht="27" customHeight="1">
      <c r="A89" s="38" t="inlineStr">
        <is>
          <t>TRF</t>
        </is>
      </c>
      <c r="B89" s="41" t="inlineStr">
        <is>
          <t>TRF-04</t>
        </is>
      </c>
      <c r="C89" s="40" t="inlineStr">
        <is>
          <t>Homocinéticas e coifas</t>
        </is>
      </c>
      <c r="D89" s="40" t="inlineStr">
        <is>
          <t>Estalos em curva, coifa rasgada com graxa espalhada.</t>
        </is>
      </c>
      <c r="E89" s="35" t="n"/>
      <c r="F89" s="36" t="n"/>
      <c r="G89" s="37" t="n"/>
      <c r="H89" s="38" t="inlineStr">
        <is>
          <t>SIM</t>
        </is>
      </c>
    </row>
    <row r="90" ht="27" customHeight="1">
      <c r="A90" s="38" t="inlineStr">
        <is>
          <t>TRF</t>
        </is>
      </c>
      <c r="B90" s="41" t="inlineStr">
        <is>
          <t>TRF-05</t>
        </is>
      </c>
      <c r="C90" s="40" t="inlineStr">
        <is>
          <t>Discos e pastilhas</t>
        </is>
      </c>
      <c r="D90" s="40" t="inlineStr">
        <is>
          <t>Degrau no disco, espessura da pastilha, vibração na frenagem.</t>
        </is>
      </c>
      <c r="E90" s="35" t="n"/>
      <c r="F90" s="36" t="n"/>
      <c r="G90" s="37" t="n"/>
      <c r="H90" s="38" t="inlineStr">
        <is>
          <t>SIM</t>
        </is>
      </c>
    </row>
    <row r="91" ht="15" customHeight="1">
      <c r="A91" s="38" t="inlineStr">
        <is>
          <t>TRF</t>
        </is>
      </c>
      <c r="B91" s="41" t="inlineStr">
        <is>
          <t>TRF-06</t>
        </is>
      </c>
      <c r="C91" s="40" t="inlineStr">
        <is>
          <t>Fluido de freio: nível e aspecto</t>
        </is>
      </c>
      <c r="D91" s="40" t="inlineStr">
        <is>
          <t>Nível, cor escura, vazamentos em flexíveis.</t>
        </is>
      </c>
      <c r="E91" s="35" t="n"/>
      <c r="F91" s="36" t="n"/>
      <c r="G91" s="37" t="n"/>
      <c r="H91" s="38" t="inlineStr">
        <is>
          <t>SIM</t>
        </is>
      </c>
    </row>
    <row r="92" ht="15" customHeight="1">
      <c r="A92" s="38" t="inlineStr">
        <is>
          <t>TRF</t>
        </is>
      </c>
      <c r="B92" s="41" t="inlineStr">
        <is>
          <t>TRF-07</t>
        </is>
      </c>
      <c r="C92" s="40" t="inlineStr">
        <is>
          <t>Freio de estacionamento</t>
        </is>
      </c>
      <c r="D92" s="40" t="inlineStr">
        <is>
          <t>Segura o veículo em rampa; curso da alavanca.</t>
        </is>
      </c>
      <c r="E92" s="35" t="n"/>
      <c r="F92" s="36" t="n"/>
      <c r="G92" s="37" t="n"/>
      <c r="H92" s="38" t="inlineStr">
        <is>
          <t>—</t>
        </is>
      </c>
    </row>
    <row r="93" ht="15" customHeight="1">
      <c r="A93" s="38" t="inlineStr">
        <is>
          <t>TRF</t>
        </is>
      </c>
      <c r="B93" s="41" t="inlineStr">
        <is>
          <t>TRF-08</t>
        </is>
      </c>
      <c r="C93" s="40" t="inlineStr">
        <is>
          <t>ABS e controle de estabilidade</t>
        </is>
      </c>
      <c r="D93" s="40" t="inlineStr">
        <is>
          <t>Luzes acendem na partida e apagam.</t>
        </is>
      </c>
      <c r="E93" s="35" t="n"/>
      <c r="F93" s="36" t="n"/>
      <c r="G93" s="37" t="n"/>
      <c r="H93" s="38" t="inlineStr">
        <is>
          <t>—</t>
        </is>
      </c>
    </row>
    <row r="94" ht="27" customHeight="1">
      <c r="A94" s="32" t="inlineStr">
        <is>
          <t>ELE</t>
        </is>
      </c>
      <c r="B94" s="33" t="inlineStr">
        <is>
          <t>ELE-01</t>
        </is>
      </c>
      <c r="C94" s="34" t="inlineStr">
        <is>
          <t>Painel: luzes de advertência na partida</t>
        </is>
      </c>
      <c r="D94" s="34" t="inlineStr">
        <is>
          <t>Todas acendem no teste e apagam após a partida.</t>
        </is>
      </c>
      <c r="E94" s="35" t="n"/>
      <c r="F94" s="36" t="n"/>
      <c r="G94" s="37" t="n"/>
      <c r="H94" s="32" t="inlineStr">
        <is>
          <t>SIM</t>
        </is>
      </c>
    </row>
    <row r="95" ht="27" customHeight="1">
      <c r="A95" s="32" t="inlineStr">
        <is>
          <t>ELE</t>
        </is>
      </c>
      <c r="B95" s="33" t="inlineStr">
        <is>
          <t>ELE-02</t>
        </is>
      </c>
      <c r="C95" s="34" t="inlineStr">
        <is>
          <t>Leitura com scanner OBD2</t>
        </is>
      </c>
      <c r="D95" s="34" t="inlineStr">
        <is>
          <t>Códigos ativos, pendentes e históricos; monitores de prontidão.</t>
        </is>
      </c>
      <c r="E95" s="35" t="n"/>
      <c r="F95" s="36" t="n"/>
      <c r="G95" s="37" t="n"/>
      <c r="H95" s="32" t="inlineStr">
        <is>
          <t>SIM</t>
        </is>
      </c>
    </row>
    <row r="96" ht="27" customHeight="1">
      <c r="A96" s="32" t="inlineStr">
        <is>
          <t>ELE</t>
        </is>
      </c>
      <c r="B96" s="33" t="inlineStr">
        <is>
          <t>ELE-03</t>
        </is>
      </c>
      <c r="C96" s="34" t="inlineStr">
        <is>
          <t>Bateria: tensão, data e bornes</t>
        </is>
      </c>
      <c r="D96" s="34" t="inlineStr">
        <is>
          <t>Tensão em repouso e na partida; corrosão; data de fabricação.</t>
        </is>
      </c>
      <c r="E96" s="35" t="n"/>
      <c r="F96" s="36" t="n"/>
      <c r="G96" s="37" t="n"/>
      <c r="H96" s="32" t="inlineStr">
        <is>
          <t>SIM</t>
        </is>
      </c>
    </row>
    <row r="97" ht="15" customHeight="1">
      <c r="A97" s="32" t="inlineStr">
        <is>
          <t>ELE</t>
        </is>
      </c>
      <c r="B97" s="33" t="inlineStr">
        <is>
          <t>ELE-04</t>
        </is>
      </c>
      <c r="C97" s="34" t="inlineStr">
        <is>
          <t>Sistema de carga (alternador)</t>
        </is>
      </c>
      <c r="D97" s="34" t="inlineStr">
        <is>
          <t>Tensão com motor ligado e com cargas acionadas.</t>
        </is>
      </c>
      <c r="E97" s="35" t="n"/>
      <c r="F97" s="36" t="n"/>
      <c r="G97" s="37" t="n"/>
      <c r="H97" s="32" t="inlineStr">
        <is>
          <t>—</t>
        </is>
      </c>
    </row>
    <row r="98" ht="27" customHeight="1">
      <c r="A98" s="32" t="inlineStr">
        <is>
          <t>ELE</t>
        </is>
      </c>
      <c r="B98" s="33" t="inlineStr">
        <is>
          <t>ELE-05</t>
        </is>
      </c>
      <c r="C98" s="34" t="inlineStr">
        <is>
          <t>Chicotes e conectores</t>
        </is>
      </c>
      <c r="D98" s="34" t="inlineStr">
        <is>
          <t>Emendas amadoras, fita isolante, oxidação (sinal de enchente).</t>
        </is>
      </c>
      <c r="E98" s="35" t="n"/>
      <c r="F98" s="36" t="n"/>
      <c r="G98" s="37" t="n"/>
      <c r="H98" s="32" t="inlineStr">
        <is>
          <t>SIM</t>
        </is>
      </c>
    </row>
    <row r="99" ht="15" customHeight="1">
      <c r="A99" s="32" t="inlineStr">
        <is>
          <t>ELE</t>
        </is>
      </c>
      <c r="B99" s="33" t="inlineStr">
        <is>
          <t>ELE-06</t>
        </is>
      </c>
      <c r="C99" s="34" t="inlineStr">
        <is>
          <t>Ar-condicionado e ventilação</t>
        </is>
      </c>
      <c r="D99" s="34" t="inlineStr">
        <is>
          <t>Temperatura na saída, compressor, cheiro.</t>
        </is>
      </c>
      <c r="E99" s="35" t="n"/>
      <c r="F99" s="36" t="n"/>
      <c r="G99" s="37" t="n"/>
      <c r="H99" s="32" t="inlineStr">
        <is>
          <t>—</t>
        </is>
      </c>
    </row>
    <row r="100" ht="27" customHeight="1">
      <c r="A100" s="32" t="inlineStr">
        <is>
          <t>ELE</t>
        </is>
      </c>
      <c r="B100" s="33" t="inlineStr">
        <is>
          <t>ELE-07</t>
        </is>
      </c>
      <c r="C100" s="34" t="inlineStr">
        <is>
          <t>Vidros e travas elétricos, retrovisores elétricos</t>
        </is>
      </c>
      <c r="D100" s="34" t="inlineStr">
        <is>
          <t>Funcionamento em todas as portas.</t>
        </is>
      </c>
      <c r="E100" s="35" t="n"/>
      <c r="F100" s="36" t="n"/>
      <c r="G100" s="37" t="n"/>
      <c r="H100" s="32" t="inlineStr">
        <is>
          <t>—</t>
        </is>
      </c>
    </row>
    <row r="101" ht="15" customHeight="1">
      <c r="A101" s="32" t="inlineStr">
        <is>
          <t>ELE</t>
        </is>
      </c>
      <c r="B101" s="33" t="inlineStr">
        <is>
          <t>ELE-08</t>
        </is>
      </c>
      <c r="C101" s="34" t="inlineStr">
        <is>
          <t>Central multimídia, câmeras e sensores</t>
        </is>
      </c>
      <c r="D101" s="34" t="inlineStr">
        <is>
          <t>Funcionamento e mensagens de erro.</t>
        </is>
      </c>
      <c r="E101" s="35" t="n"/>
      <c r="F101" s="36" t="n"/>
      <c r="G101" s="37" t="n"/>
      <c r="H101" s="32" t="inlineStr">
        <is>
          <t>—</t>
        </is>
      </c>
    </row>
    <row r="102" ht="27" customHeight="1">
      <c r="A102" s="38" t="inlineStr">
        <is>
          <t>INT</t>
        </is>
      </c>
      <c r="B102" s="41" t="inlineStr">
        <is>
          <t>INT-01</t>
        </is>
      </c>
      <c r="C102" s="40" t="inlineStr">
        <is>
          <t>Airbags: luz de advertência e acabamentos</t>
        </is>
      </c>
      <c r="D102" s="40" t="inlineStr">
        <is>
          <t>Luz apaga após o teste; tampas, costuras e painel sem sinais de troca.</t>
        </is>
      </c>
      <c r="E102" s="35" t="n"/>
      <c r="F102" s="36" t="n"/>
      <c r="G102" s="37" t="n"/>
      <c r="H102" s="38" t="inlineStr">
        <is>
          <t>SIM</t>
        </is>
      </c>
    </row>
    <row r="103" ht="27" customHeight="1">
      <c r="A103" s="38" t="inlineStr">
        <is>
          <t>INT</t>
        </is>
      </c>
      <c r="B103" s="41" t="inlineStr">
        <is>
          <t>INT-02</t>
        </is>
      </c>
      <c r="C103" s="40" t="inlineStr">
        <is>
          <t>Cintos de segurança: travamento, recolhimento e etiqueta</t>
        </is>
      </c>
      <c r="D103" s="40" t="inlineStr">
        <is>
          <t>Trava no puxão; etiqueta com data coerente; pré-tensionador.</t>
        </is>
      </c>
      <c r="E103" s="35" t="n"/>
      <c r="F103" s="36" t="n"/>
      <c r="G103" s="37" t="n"/>
      <c r="H103" s="38" t="inlineStr">
        <is>
          <t>SIM</t>
        </is>
      </c>
    </row>
    <row r="104" ht="27" customHeight="1">
      <c r="A104" s="38" t="inlineStr">
        <is>
          <t>INT</t>
        </is>
      </c>
      <c r="B104" s="39" t="inlineStr">
        <is>
          <t>INT-03</t>
        </is>
      </c>
      <c r="C104" s="40" t="inlineStr">
        <is>
          <t>Sinais de enchente</t>
        </is>
      </c>
      <c r="D104" s="40" t="inlineStr">
        <is>
          <t>Lodo e areia em áreas ocultas, oxidação em trilhos e parafusos, marca d'água, cheiro.</t>
        </is>
      </c>
      <c r="E104" s="35" t="n"/>
      <c r="F104" s="36" t="n"/>
      <c r="G104" s="37" t="n"/>
      <c r="H104" s="38" t="inlineStr">
        <is>
          <t>SIM</t>
        </is>
      </c>
    </row>
    <row r="105" ht="15" customHeight="1">
      <c r="A105" s="38" t="inlineStr">
        <is>
          <t>INT</t>
        </is>
      </c>
      <c r="B105" s="41" t="inlineStr">
        <is>
          <t>INT-04</t>
        </is>
      </c>
      <c r="C105" s="40" t="inlineStr">
        <is>
          <t>Coerência desgaste x quilometragem</t>
        </is>
      </c>
      <c r="D105" s="40" t="inlineStr">
        <is>
          <t>Volante, manopla, pedais, banco do motorista.</t>
        </is>
      </c>
      <c r="E105" s="35" t="n"/>
      <c r="F105" s="36" t="n"/>
      <c r="G105" s="37" t="n"/>
      <c r="H105" s="38" t="inlineStr">
        <is>
          <t>SIM</t>
        </is>
      </c>
    </row>
    <row r="106" ht="15" customHeight="1">
      <c r="A106" s="38" t="inlineStr">
        <is>
          <t>INT</t>
        </is>
      </c>
      <c r="B106" s="41" t="inlineStr">
        <is>
          <t>INT-05</t>
        </is>
      </c>
      <c r="C106" s="40" t="inlineStr">
        <is>
          <t>Bancos, trilhos e regulagens</t>
        </is>
      </c>
      <c r="D106" s="40" t="inlineStr">
        <is>
          <t>Funcionamento, oxidação nos trilhos.</t>
        </is>
      </c>
      <c r="E106" s="35" t="n"/>
      <c r="F106" s="36" t="n"/>
      <c r="G106" s="37" t="n"/>
      <c r="H106" s="38" t="inlineStr">
        <is>
          <t>—</t>
        </is>
      </c>
    </row>
    <row r="107" ht="15" customHeight="1">
      <c r="A107" s="38" t="inlineStr">
        <is>
          <t>INT</t>
        </is>
      </c>
      <c r="B107" s="41" t="inlineStr">
        <is>
          <t>INT-06</t>
        </is>
      </c>
      <c r="C107" s="40" t="inlineStr">
        <is>
          <t>Carpetes e forração</t>
        </is>
      </c>
      <c r="D107" s="40" t="inlineStr">
        <is>
          <t>Umidade, carpete trocado, cola nova.</t>
        </is>
      </c>
      <c r="E107" s="35" t="n"/>
      <c r="F107" s="36" t="n"/>
      <c r="G107" s="37" t="n"/>
      <c r="H107" s="38" t="inlineStr">
        <is>
          <t>SIM</t>
        </is>
      </c>
    </row>
    <row r="108" ht="27" customHeight="1">
      <c r="A108" s="38" t="inlineStr">
        <is>
          <t>INT</t>
        </is>
      </c>
      <c r="B108" s="39" t="inlineStr">
        <is>
          <t>INT-07</t>
        </is>
      </c>
      <c r="C108" s="40" t="inlineStr">
        <is>
          <t>Sinais de incêndio</t>
        </is>
      </c>
      <c r="D108" s="40" t="inlineStr">
        <is>
          <t>Fuligem, plásticos derretidos, chicote substituído no cofre.</t>
        </is>
      </c>
      <c r="E108" s="35" t="n"/>
      <c r="F108" s="36" t="n"/>
      <c r="G108" s="37" t="n"/>
      <c r="H108" s="38" t="inlineStr">
        <is>
          <t>SIM</t>
        </is>
      </c>
    </row>
    <row r="109" ht="15" customHeight="1">
      <c r="A109" s="38" t="inlineStr">
        <is>
          <t>INT</t>
        </is>
      </c>
      <c r="B109" s="41" t="inlineStr">
        <is>
          <t>INT-08</t>
        </is>
      </c>
      <c r="C109" s="40" t="inlineStr">
        <is>
          <t>Painel de instrumentos e acabamentos</t>
        </is>
      </c>
      <c r="D109" s="40" t="inlineStr">
        <is>
          <t>Presilhas quebradas, desmontagem recente.</t>
        </is>
      </c>
      <c r="E109" s="35" t="n"/>
      <c r="F109" s="36" t="n"/>
      <c r="G109" s="37" t="n"/>
      <c r="H109" s="38" t="inlineStr">
        <is>
          <t>—</t>
        </is>
      </c>
    </row>
  </sheetData>
  <autoFilter ref="A14:H109"/>
  <mergeCells count="22">
    <mergeCell ref="E12:F12"/>
    <mergeCell ref="B7:C7"/>
    <mergeCell ref="G8:H10"/>
    <mergeCell ref="E5:F5"/>
    <mergeCell ref="A1:H1"/>
    <mergeCell ref="E8:F8"/>
    <mergeCell ref="B12:C12"/>
    <mergeCell ref="B11:C11"/>
    <mergeCell ref="E10:F10"/>
    <mergeCell ref="G7:H7"/>
    <mergeCell ref="E9:F9"/>
    <mergeCell ref="B8:C8"/>
    <mergeCell ref="D2:F3"/>
    <mergeCell ref="E6:F6"/>
    <mergeCell ref="A13:F13"/>
    <mergeCell ref="B10:C10"/>
    <mergeCell ref="E11:F11"/>
    <mergeCell ref="B9:C9"/>
    <mergeCell ref="A2:C3"/>
    <mergeCell ref="B6:C6"/>
    <mergeCell ref="E7:F7"/>
    <mergeCell ref="B5:C5"/>
  </mergeCells>
  <conditionalFormatting sqref="E15:E109">
    <cfRule type="cellIs" priority="1" operator="equal" dxfId="0">
      <formula>"N0"</formula>
    </cfRule>
    <cfRule type="cellIs" priority="2" operator="equal" dxfId="1">
      <formula>"N1"</formula>
    </cfRule>
    <cfRule type="cellIs" priority="3" operator="equal" dxfId="2">
      <formula>"N2"</formula>
    </cfRule>
    <cfRule type="cellIs" priority="4" operator="equal" dxfId="3">
      <formula>"N3"</formula>
    </cfRule>
    <cfRule type="cellIs" priority="5" operator="equal" dxfId="4">
      <formula>"N4"</formula>
    </cfRule>
    <cfRule type="cellIs" priority="6" operator="equal" dxfId="5">
      <formula>"NV"</formula>
    </cfRule>
    <cfRule type="cellIs" priority="7" operator="equal" dxfId="6">
      <formula>"N/A"</formula>
    </cfRule>
  </conditionalFormatting>
  <dataValidations count="3">
    <dataValidation sqref="H5:H6" showDropDown="0" showInputMessage="1" showErrorMessage="1" allowBlank="0" errorTitle="Valor inválido" error="Escolha um valor da lista." prompt="SIM inclui os itens do anexo na contagem e na classificação." type="list">
      <formula1>"SIM,NÃO"</formula1>
    </dataValidation>
    <dataValidation sqref="E15:E24 E34:E109" showDropDown="0" showInputMessage="1" showErrorMessage="1" allowBlank="1" errorTitle="Nível inválido" error="Use N0, N1, N2, N3, N4 ou N/A. (NV só em Identificação veicular.)" prompt="N0 Conforme · N1 Observação · N2 Apontamento · N3 Relevante · N4 Crítico · N/A" type="list">
      <formula1>"N0,N1,N2,N3,N4,N/A"</formula1>
    </dataValidation>
    <dataValidation sqref="E25:E33" showDropDown="0" showInputMessage="1" showErrorMessage="1" allowBlank="1" errorTitle="Nível inválido" error="Use N0–N4, N/A ou NV (não verificável)." prompt="NV = não verificável → classificação INCONCLUSIVO" type="list">
      <formula1>"N0,N1,N2,N3,N4,N/A,NV"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F1318"/>
    <outlinePr summaryBelow="1" summaryRight="1"/>
    <pageSetUpPr fitToPage="1"/>
  </sheetPr>
  <dimension ref="A1:K3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16" customWidth="1" min="11" max="11"/>
  </cols>
  <sheetData>
    <row r="1" ht="28" customHeight="1">
      <c r="A1" s="17" t="inlineStr">
        <is>
          <t>PROTOCOLO CAUTELAR  |  RESUMO E CLASSIFICAÇÃO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4">
      <c r="A4" s="19" t="inlineStr">
        <is>
          <t>Placa / Laudo nº</t>
        </is>
      </c>
      <c r="B4" s="43">
        <f>Vistoria!$B$10&amp;"  ·  Laudo "&amp;Vistoria!$B$5</f>
        <v/>
      </c>
      <c r="C4" s="44" t="n"/>
      <c r="D4" s="44" t="n"/>
      <c r="E4" s="44" t="n"/>
      <c r="F4" s="44" t="n"/>
      <c r="G4" s="44" t="n"/>
      <c r="H4" s="44" t="n"/>
      <c r="I4" s="44" t="n"/>
      <c r="J4" s="44" t="n"/>
      <c r="K4" s="45" t="n"/>
    </row>
    <row r="6" ht="36" customHeight="1">
      <c r="A6" s="46" t="inlineStr">
        <is>
          <t>CLASSIFICAÇÃO FINAL</t>
        </is>
      </c>
      <c r="B6" s="47">
        <f>IF($B$25&gt;0,"INCOMPLETO – faltam "&amp;$B$25&amp;IF($B$25=1," item"," itens"),IF($B$26&gt;0,"INCONCLUSIVO",IF($B$27&gt;0,"REPROVADO",IF($B$29+$B$28&gt;0,"APROVADO COM APONTAMENTOS","APROVADO"))))</f>
        <v/>
      </c>
    </row>
    <row r="7">
      <c r="A7" s="48">
        <f>IF(AND(LEFT($B$6,10)&lt;&gt;"INCOMPLETO",$B$28&gt;0),"ATENÇÃO: "&amp;$B$28&amp;" achado(s) N3 — destacar no laudo.","")</f>
        <v/>
      </c>
    </row>
    <row r="9" ht="30" customHeight="1">
      <c r="A9" s="31" t="inlineStr">
        <is>
          <t>Sistema</t>
        </is>
      </c>
      <c r="B9" s="49" t="inlineStr">
        <is>
          <t>N0</t>
        </is>
      </c>
      <c r="C9" s="50" t="inlineStr">
        <is>
          <t>N1</t>
        </is>
      </c>
      <c r="D9" s="51" t="inlineStr">
        <is>
          <t>N2</t>
        </is>
      </c>
      <c r="E9" s="52" t="inlineStr">
        <is>
          <t>N3</t>
        </is>
      </c>
      <c r="F9" s="53" t="inlineStr">
        <is>
          <t>N4</t>
        </is>
      </c>
      <c r="G9" s="54" t="inlineStr">
        <is>
          <t>N/A</t>
        </is>
      </c>
      <c r="H9" s="55" t="inlineStr">
        <is>
          <t>NV</t>
        </is>
      </c>
      <c r="I9" s="31" t="inlineStr">
        <is>
          <t>Em branco</t>
        </is>
      </c>
      <c r="J9" s="31" t="inlineStr">
        <is>
          <t>Total</t>
        </is>
      </c>
      <c r="K9" s="31" t="inlineStr">
        <is>
          <t>Situação</t>
        </is>
      </c>
    </row>
    <row r="10">
      <c r="A10" s="56" t="inlineStr">
        <is>
          <t>01 DOC — Documentação e histórico</t>
        </is>
      </c>
      <c r="B10" s="57">
        <f>COUNTIFS(Vistoria!$A$15:$A$109,"DOC",Vistoria!$E$15:$E$109,"N0")</f>
        <v/>
      </c>
      <c r="C10" s="57">
        <f>COUNTIFS(Vistoria!$A$15:$A$109,"DOC",Vistoria!$E$15:$E$109,"N1")</f>
        <v/>
      </c>
      <c r="D10" s="57">
        <f>COUNTIFS(Vistoria!$A$15:$A$109,"DOC",Vistoria!$E$15:$E$109,"N2")</f>
        <v/>
      </c>
      <c r="E10" s="57">
        <f>COUNTIFS(Vistoria!$A$15:$A$109,"DOC",Vistoria!$E$15:$E$109,"N3")</f>
        <v/>
      </c>
      <c r="F10" s="57">
        <f>COUNTIFS(Vistoria!$A$15:$A$109,"DOC",Vistoria!$E$15:$E$109,"N4")</f>
        <v/>
      </c>
      <c r="G10" s="57">
        <f>COUNTIFS(Vistoria!$A$15:$A$109,"DOC",Vistoria!$E$15:$E$109,"N/A")</f>
        <v/>
      </c>
      <c r="H10" s="57">
        <f>COUNTIFS(Vistoria!$A$15:$A$109,"DOC",Vistoria!$E$15:$E$109,"NV")</f>
        <v/>
      </c>
      <c r="I10" s="57">
        <f>COUNTIFS(Vistoria!$A$15:$A$109,"DOC",Vistoria!$E$15:$E$109,"")</f>
        <v/>
      </c>
      <c r="J10" s="58">
        <f>COUNTIF(Vistoria!$A$15:$A$109,"DOC")</f>
        <v/>
      </c>
      <c r="K10" s="58">
        <f>IF(I10&gt;0,"Incompleto",IF(F10+H10&gt;0,"CRÍTICO / NV",IF(E10&gt;0,"Atenção (N3)",IF(D10&gt;0,"Apontamento","OK"))))</f>
        <v/>
      </c>
    </row>
    <row r="11">
      <c r="A11" s="56" t="inlineStr">
        <is>
          <t>02 IDV — Identificação veicular</t>
        </is>
      </c>
      <c r="B11" s="57">
        <f>COUNTIFS(Vistoria!$A$15:$A$109,"IDV",Vistoria!$E$15:$E$109,"N0")</f>
        <v/>
      </c>
      <c r="C11" s="57">
        <f>COUNTIFS(Vistoria!$A$15:$A$109,"IDV",Vistoria!$E$15:$E$109,"N1")</f>
        <v/>
      </c>
      <c r="D11" s="57">
        <f>COUNTIFS(Vistoria!$A$15:$A$109,"IDV",Vistoria!$E$15:$E$109,"N2")</f>
        <v/>
      </c>
      <c r="E11" s="57">
        <f>COUNTIFS(Vistoria!$A$15:$A$109,"IDV",Vistoria!$E$15:$E$109,"N3")</f>
        <v/>
      </c>
      <c r="F11" s="57">
        <f>COUNTIFS(Vistoria!$A$15:$A$109,"IDV",Vistoria!$E$15:$E$109,"N4")</f>
        <v/>
      </c>
      <c r="G11" s="57">
        <f>COUNTIFS(Vistoria!$A$15:$A$109,"IDV",Vistoria!$E$15:$E$109,"N/A")</f>
        <v/>
      </c>
      <c r="H11" s="57">
        <f>COUNTIFS(Vistoria!$A$15:$A$109,"IDV",Vistoria!$E$15:$E$109,"NV")</f>
        <v/>
      </c>
      <c r="I11" s="57">
        <f>COUNTIFS(Vistoria!$A$15:$A$109,"IDV",Vistoria!$E$15:$E$109,"")</f>
        <v/>
      </c>
      <c r="J11" s="58">
        <f>COUNTIF(Vistoria!$A$15:$A$109,"IDV")</f>
        <v/>
      </c>
      <c r="K11" s="58">
        <f>IF(I11&gt;0,"Incompleto",IF(F11+H11&gt;0,"CRÍTICO / NV",IF(E11&gt;0,"Atenção (N3)",IF(D11&gt;0,"Apontamento","OK"))))</f>
        <v/>
      </c>
    </row>
    <row r="12">
      <c r="A12" s="56" t="inlineStr">
        <is>
          <t>03 EST — Estrutura</t>
        </is>
      </c>
      <c r="B12" s="57">
        <f>COUNTIFS(Vistoria!$A$15:$A$109,"EST",Vistoria!$E$15:$E$109,"N0")</f>
        <v/>
      </c>
      <c r="C12" s="57">
        <f>COUNTIFS(Vistoria!$A$15:$A$109,"EST",Vistoria!$E$15:$E$109,"N1")</f>
        <v/>
      </c>
      <c r="D12" s="57">
        <f>COUNTIFS(Vistoria!$A$15:$A$109,"EST",Vistoria!$E$15:$E$109,"N2")</f>
        <v/>
      </c>
      <c r="E12" s="57">
        <f>COUNTIFS(Vistoria!$A$15:$A$109,"EST",Vistoria!$E$15:$E$109,"N3")</f>
        <v/>
      </c>
      <c r="F12" s="57">
        <f>COUNTIFS(Vistoria!$A$15:$A$109,"EST",Vistoria!$E$15:$E$109,"N4")</f>
        <v/>
      </c>
      <c r="G12" s="57">
        <f>COUNTIFS(Vistoria!$A$15:$A$109,"EST",Vistoria!$E$15:$E$109,"N/A")</f>
        <v/>
      </c>
      <c r="H12" s="57">
        <f>COUNTIFS(Vistoria!$A$15:$A$109,"EST",Vistoria!$E$15:$E$109,"NV")</f>
        <v/>
      </c>
      <c r="I12" s="57">
        <f>COUNTIFS(Vistoria!$A$15:$A$109,"EST",Vistoria!$E$15:$E$109,"")</f>
        <v/>
      </c>
      <c r="J12" s="58">
        <f>COUNTIF(Vistoria!$A$15:$A$109,"EST")</f>
        <v/>
      </c>
      <c r="K12" s="58">
        <f>IF(I12&gt;0,"Incompleto",IF(F12+H12&gt;0,"CRÍTICO / NV",IF(E12&gt;0,"Atenção (N3)",IF(D12&gt;0,"Apontamento","OK"))))</f>
        <v/>
      </c>
    </row>
    <row r="13">
      <c r="A13" s="56" t="inlineStr">
        <is>
          <t>04 CAR — Carroceria e pintura</t>
        </is>
      </c>
      <c r="B13" s="57">
        <f>COUNTIFS(Vistoria!$A$15:$A$109,"CAR",Vistoria!$E$15:$E$109,"N0")</f>
        <v/>
      </c>
      <c r="C13" s="57">
        <f>COUNTIFS(Vistoria!$A$15:$A$109,"CAR",Vistoria!$E$15:$E$109,"N1")</f>
        <v/>
      </c>
      <c r="D13" s="57">
        <f>COUNTIFS(Vistoria!$A$15:$A$109,"CAR",Vistoria!$E$15:$E$109,"N2")</f>
        <v/>
      </c>
      <c r="E13" s="57">
        <f>COUNTIFS(Vistoria!$A$15:$A$109,"CAR",Vistoria!$E$15:$E$109,"N3")</f>
        <v/>
      </c>
      <c r="F13" s="57">
        <f>COUNTIFS(Vistoria!$A$15:$A$109,"CAR",Vistoria!$E$15:$E$109,"N4")</f>
        <v/>
      </c>
      <c r="G13" s="57">
        <f>COUNTIFS(Vistoria!$A$15:$A$109,"CAR",Vistoria!$E$15:$E$109,"N/A")</f>
        <v/>
      </c>
      <c r="H13" s="57">
        <f>COUNTIFS(Vistoria!$A$15:$A$109,"CAR",Vistoria!$E$15:$E$109,"NV")</f>
        <v/>
      </c>
      <c r="I13" s="57">
        <f>COUNTIFS(Vistoria!$A$15:$A$109,"CAR",Vistoria!$E$15:$E$109,"")</f>
        <v/>
      </c>
      <c r="J13" s="58">
        <f>COUNTIF(Vistoria!$A$15:$A$109,"CAR")</f>
        <v/>
      </c>
      <c r="K13" s="58">
        <f>IF(I13&gt;0,"Incompleto",IF(F13+H13&gt;0,"CRÍTICO / NV",IF(E13&gt;0,"Atenção (N3)",IF(D13&gt;0,"Apontamento","OK"))))</f>
        <v/>
      </c>
    </row>
    <row r="14">
      <c r="A14" s="56" t="inlineStr">
        <is>
          <t>05 VID — Vidros, iluminação e sinalização</t>
        </is>
      </c>
      <c r="B14" s="57">
        <f>COUNTIFS(Vistoria!$A$15:$A$109,"VID",Vistoria!$E$15:$E$109,"N0")</f>
        <v/>
      </c>
      <c r="C14" s="57">
        <f>COUNTIFS(Vistoria!$A$15:$A$109,"VID",Vistoria!$E$15:$E$109,"N1")</f>
        <v/>
      </c>
      <c r="D14" s="57">
        <f>COUNTIFS(Vistoria!$A$15:$A$109,"VID",Vistoria!$E$15:$E$109,"N2")</f>
        <v/>
      </c>
      <c r="E14" s="57">
        <f>COUNTIFS(Vistoria!$A$15:$A$109,"VID",Vistoria!$E$15:$E$109,"N3")</f>
        <v/>
      </c>
      <c r="F14" s="57">
        <f>COUNTIFS(Vistoria!$A$15:$A$109,"VID",Vistoria!$E$15:$E$109,"N4")</f>
        <v/>
      </c>
      <c r="G14" s="57">
        <f>COUNTIFS(Vistoria!$A$15:$A$109,"VID",Vistoria!$E$15:$E$109,"N/A")</f>
        <v/>
      </c>
      <c r="H14" s="57">
        <f>COUNTIFS(Vistoria!$A$15:$A$109,"VID",Vistoria!$E$15:$E$109,"NV")</f>
        <v/>
      </c>
      <c r="I14" s="57">
        <f>COUNTIFS(Vistoria!$A$15:$A$109,"VID",Vistoria!$E$15:$E$109,"")</f>
        <v/>
      </c>
      <c r="J14" s="58">
        <f>COUNTIF(Vistoria!$A$15:$A$109,"VID")</f>
        <v/>
      </c>
      <c r="K14" s="58">
        <f>IF(I14&gt;0,"Incompleto",IF(F14+H14&gt;0,"CRÍTICO / NV",IF(E14&gt;0,"Atenção (N3)",IF(D14&gt;0,"Apontamento","OK"))))</f>
        <v/>
      </c>
    </row>
    <row r="15">
      <c r="A15" s="56" t="inlineStr">
        <is>
          <t>06 RSP — Rodas, pneus, suspensão e direção</t>
        </is>
      </c>
      <c r="B15" s="57">
        <f>COUNTIFS(Vistoria!$A$15:$A$109,"RSP",Vistoria!$E$15:$E$109,"N0")</f>
        <v/>
      </c>
      <c r="C15" s="57">
        <f>COUNTIFS(Vistoria!$A$15:$A$109,"RSP",Vistoria!$E$15:$E$109,"N1")</f>
        <v/>
      </c>
      <c r="D15" s="57">
        <f>COUNTIFS(Vistoria!$A$15:$A$109,"RSP",Vistoria!$E$15:$E$109,"N2")</f>
        <v/>
      </c>
      <c r="E15" s="57">
        <f>COUNTIFS(Vistoria!$A$15:$A$109,"RSP",Vistoria!$E$15:$E$109,"N3")</f>
        <v/>
      </c>
      <c r="F15" s="57">
        <f>COUNTIFS(Vistoria!$A$15:$A$109,"RSP",Vistoria!$E$15:$E$109,"N4")</f>
        <v/>
      </c>
      <c r="G15" s="57">
        <f>COUNTIFS(Vistoria!$A$15:$A$109,"RSP",Vistoria!$E$15:$E$109,"N/A")</f>
        <v/>
      </c>
      <c r="H15" s="57">
        <f>COUNTIFS(Vistoria!$A$15:$A$109,"RSP",Vistoria!$E$15:$E$109,"NV")</f>
        <v/>
      </c>
      <c r="I15" s="57">
        <f>COUNTIFS(Vistoria!$A$15:$A$109,"RSP",Vistoria!$E$15:$E$109,"")</f>
        <v/>
      </c>
      <c r="J15" s="58">
        <f>COUNTIF(Vistoria!$A$15:$A$109,"RSP")</f>
        <v/>
      </c>
      <c r="K15" s="58">
        <f>IF(I15&gt;0,"Incompleto",IF(F15+H15&gt;0,"CRÍTICO / NV",IF(E15&gt;0,"Atenção (N3)",IF(D15&gt;0,"Apontamento","OK"))))</f>
        <v/>
      </c>
    </row>
    <row r="16">
      <c r="A16" s="56" t="inlineStr">
        <is>
          <t>07 MOT — Motor, arrefecimento e alimentação</t>
        </is>
      </c>
      <c r="B16" s="57">
        <f>COUNTIFS(Vistoria!$A$15:$A$109,"MOT",Vistoria!$E$15:$E$109,"N0")</f>
        <v/>
      </c>
      <c r="C16" s="57">
        <f>COUNTIFS(Vistoria!$A$15:$A$109,"MOT",Vistoria!$E$15:$E$109,"N1")</f>
        <v/>
      </c>
      <c r="D16" s="57">
        <f>COUNTIFS(Vistoria!$A$15:$A$109,"MOT",Vistoria!$E$15:$E$109,"N2")</f>
        <v/>
      </c>
      <c r="E16" s="57">
        <f>COUNTIFS(Vistoria!$A$15:$A$109,"MOT",Vistoria!$E$15:$E$109,"N3")</f>
        <v/>
      </c>
      <c r="F16" s="57">
        <f>COUNTIFS(Vistoria!$A$15:$A$109,"MOT",Vistoria!$E$15:$E$109,"N4")</f>
        <v/>
      </c>
      <c r="G16" s="57">
        <f>COUNTIFS(Vistoria!$A$15:$A$109,"MOT",Vistoria!$E$15:$E$109,"N/A")</f>
        <v/>
      </c>
      <c r="H16" s="57">
        <f>COUNTIFS(Vistoria!$A$15:$A$109,"MOT",Vistoria!$E$15:$E$109,"NV")</f>
        <v/>
      </c>
      <c r="I16" s="57">
        <f>COUNTIFS(Vistoria!$A$15:$A$109,"MOT",Vistoria!$E$15:$E$109,"")</f>
        <v/>
      </c>
      <c r="J16" s="58">
        <f>COUNTIF(Vistoria!$A$15:$A$109,"MOT")</f>
        <v/>
      </c>
      <c r="K16" s="58">
        <f>IF(I16&gt;0,"Incompleto",IF(F16+H16&gt;0,"CRÍTICO / NV",IF(E16&gt;0,"Atenção (N3)",IF(D16&gt;0,"Apontamento","OK"))))</f>
        <v/>
      </c>
    </row>
    <row r="17">
      <c r="A17" s="56" t="inlineStr">
        <is>
          <t>08 TRF — Transmissão e freios</t>
        </is>
      </c>
      <c r="B17" s="57">
        <f>COUNTIFS(Vistoria!$A$15:$A$109,"TRF",Vistoria!$E$15:$E$109,"N0")</f>
        <v/>
      </c>
      <c r="C17" s="57">
        <f>COUNTIFS(Vistoria!$A$15:$A$109,"TRF",Vistoria!$E$15:$E$109,"N1")</f>
        <v/>
      </c>
      <c r="D17" s="57">
        <f>COUNTIFS(Vistoria!$A$15:$A$109,"TRF",Vistoria!$E$15:$E$109,"N2")</f>
        <v/>
      </c>
      <c r="E17" s="57">
        <f>COUNTIFS(Vistoria!$A$15:$A$109,"TRF",Vistoria!$E$15:$E$109,"N3")</f>
        <v/>
      </c>
      <c r="F17" s="57">
        <f>COUNTIFS(Vistoria!$A$15:$A$109,"TRF",Vistoria!$E$15:$E$109,"N4")</f>
        <v/>
      </c>
      <c r="G17" s="57">
        <f>COUNTIFS(Vistoria!$A$15:$A$109,"TRF",Vistoria!$E$15:$E$109,"N/A")</f>
        <v/>
      </c>
      <c r="H17" s="57">
        <f>COUNTIFS(Vistoria!$A$15:$A$109,"TRF",Vistoria!$E$15:$E$109,"NV")</f>
        <v/>
      </c>
      <c r="I17" s="57">
        <f>COUNTIFS(Vistoria!$A$15:$A$109,"TRF",Vistoria!$E$15:$E$109,"")</f>
        <v/>
      </c>
      <c r="J17" s="58">
        <f>COUNTIF(Vistoria!$A$15:$A$109,"TRF")</f>
        <v/>
      </c>
      <c r="K17" s="58">
        <f>IF(I17&gt;0,"Incompleto",IF(F17+H17&gt;0,"CRÍTICO / NV",IF(E17&gt;0,"Atenção (N3)",IF(D17&gt;0,"Apontamento","OK"))))</f>
        <v/>
      </c>
    </row>
    <row r="18">
      <c r="A18" s="56" t="inlineStr">
        <is>
          <t>09 ELE — Elétrica, eletrônica e diagnóstico</t>
        </is>
      </c>
      <c r="B18" s="57">
        <f>COUNTIFS(Vistoria!$A$15:$A$109,"ELE",Vistoria!$E$15:$E$109,"N0")</f>
        <v/>
      </c>
      <c r="C18" s="57">
        <f>COUNTIFS(Vistoria!$A$15:$A$109,"ELE",Vistoria!$E$15:$E$109,"N1")</f>
        <v/>
      </c>
      <c r="D18" s="57">
        <f>COUNTIFS(Vistoria!$A$15:$A$109,"ELE",Vistoria!$E$15:$E$109,"N2")</f>
        <v/>
      </c>
      <c r="E18" s="57">
        <f>COUNTIFS(Vistoria!$A$15:$A$109,"ELE",Vistoria!$E$15:$E$109,"N3")</f>
        <v/>
      </c>
      <c r="F18" s="57">
        <f>COUNTIFS(Vistoria!$A$15:$A$109,"ELE",Vistoria!$E$15:$E$109,"N4")</f>
        <v/>
      </c>
      <c r="G18" s="57">
        <f>COUNTIFS(Vistoria!$A$15:$A$109,"ELE",Vistoria!$E$15:$E$109,"N/A")</f>
        <v/>
      </c>
      <c r="H18" s="57">
        <f>COUNTIFS(Vistoria!$A$15:$A$109,"ELE",Vistoria!$E$15:$E$109,"NV")</f>
        <v/>
      </c>
      <c r="I18" s="57">
        <f>COUNTIFS(Vistoria!$A$15:$A$109,"ELE",Vistoria!$E$15:$E$109,"")</f>
        <v/>
      </c>
      <c r="J18" s="58">
        <f>COUNTIF(Vistoria!$A$15:$A$109,"ELE")</f>
        <v/>
      </c>
      <c r="K18" s="58">
        <f>IF(I18&gt;0,"Incompleto",IF(F18+H18&gt;0,"CRÍTICO / NV",IF(E18&gt;0,"Atenção (N3)",IF(D18&gt;0,"Apontamento","OK"))))</f>
        <v/>
      </c>
    </row>
    <row r="19">
      <c r="A19" s="56" t="inlineStr">
        <is>
          <t>10 INT — Interior, segurança passiva e sinais de enchente</t>
        </is>
      </c>
      <c r="B19" s="57">
        <f>COUNTIFS(Vistoria!$A$15:$A$109,"INT",Vistoria!$E$15:$E$109,"N0")</f>
        <v/>
      </c>
      <c r="C19" s="57">
        <f>COUNTIFS(Vistoria!$A$15:$A$109,"INT",Vistoria!$E$15:$E$109,"N1")</f>
        <v/>
      </c>
      <c r="D19" s="57">
        <f>COUNTIFS(Vistoria!$A$15:$A$109,"INT",Vistoria!$E$15:$E$109,"N2")</f>
        <v/>
      </c>
      <c r="E19" s="57">
        <f>COUNTIFS(Vistoria!$A$15:$A$109,"INT",Vistoria!$E$15:$E$109,"N3")</f>
        <v/>
      </c>
      <c r="F19" s="57">
        <f>COUNTIFS(Vistoria!$A$15:$A$109,"INT",Vistoria!$E$15:$E$109,"N4")</f>
        <v/>
      </c>
      <c r="G19" s="57">
        <f>COUNTIFS(Vistoria!$A$15:$A$109,"INT",Vistoria!$E$15:$E$109,"N/A")</f>
        <v/>
      </c>
      <c r="H19" s="57">
        <f>COUNTIFS(Vistoria!$A$15:$A$109,"INT",Vistoria!$E$15:$E$109,"NV")</f>
        <v/>
      </c>
      <c r="I19" s="57">
        <f>COUNTIFS(Vistoria!$A$15:$A$109,"INT",Vistoria!$E$15:$E$109,"")</f>
        <v/>
      </c>
      <c r="J19" s="58">
        <f>COUNTIF(Vistoria!$A$15:$A$109,"INT")</f>
        <v/>
      </c>
      <c r="K19" s="58">
        <f>IF(I19&gt;0,"Incompleto",IF(F19+H19&gt;0,"CRÍTICO / NV",IF(E19&gt;0,"Atenção (N3)",IF(D19&gt;0,"Apontamento","OK"))))</f>
        <v/>
      </c>
    </row>
    <row r="20">
      <c r="A20" s="59" t="inlineStr">
        <is>
          <t>Anexo MOTO — Motocicletas</t>
        </is>
      </c>
      <c r="B20" s="57">
        <f>IF(Vistoria!$H$5="SIM",COUNTIF('Anexo MOTO'!$E$6:$E$15,"N0"),0)</f>
        <v/>
      </c>
      <c r="C20" s="57">
        <f>IF(Vistoria!$H$5="SIM",COUNTIF('Anexo MOTO'!$E$6:$E$15,"N1"),0)</f>
        <v/>
      </c>
      <c r="D20" s="57">
        <f>IF(Vistoria!$H$5="SIM",COUNTIF('Anexo MOTO'!$E$6:$E$15,"N2"),0)</f>
        <v/>
      </c>
      <c r="E20" s="57">
        <f>IF(Vistoria!$H$5="SIM",COUNTIF('Anexo MOTO'!$E$6:$E$15,"N3"),0)</f>
        <v/>
      </c>
      <c r="F20" s="57">
        <f>IF(Vistoria!$H$5="SIM",COUNTIF('Anexo MOTO'!$E$6:$E$15,"N4"),0)</f>
        <v/>
      </c>
      <c r="G20" s="57">
        <f>IF(Vistoria!$H$5="SIM",COUNTIF('Anexo MOTO'!$E$6:$E$15,"N/A"),0)</f>
        <v/>
      </c>
      <c r="H20" s="57">
        <f>IF(Vistoria!$H$5="SIM",COUNTIF('Anexo MOTO'!$E$6:$E$15,"NV"),0)</f>
        <v/>
      </c>
      <c r="I20" s="57">
        <f>IF(Vistoria!$H$5="SIM",COUNTBLANK('Anexo MOTO'!$E$6:$E$15),0)</f>
        <v/>
      </c>
      <c r="J20" s="58">
        <f>IF(Vistoria!$H$5="SIM",ROWS('Anexo MOTO'!$E$6:$E$15),0)</f>
        <v/>
      </c>
      <c r="K20" s="58">
        <f>IF(Vistoria!$H$5&lt;&gt;"SIM","Não aplicável",IF(I20&gt;0,"Incompleto",IF(F20&gt;0,"CRÍTICO",IF(E20&gt;0,"Atenção (N3)",IF(D20&gt;0,"Apontamento","OK")))))</f>
        <v/>
      </c>
    </row>
    <row r="21">
      <c r="A21" s="59" t="inlineStr">
        <is>
          <t>Anexo UTL — Utilitários, picapes e veículos com chassi</t>
        </is>
      </c>
      <c r="B21" s="57">
        <f>IF(Vistoria!$H$6="SIM",COUNTIF('Anexo UTL'!$E$6:$E$12,"N0"),0)</f>
        <v/>
      </c>
      <c r="C21" s="57">
        <f>IF(Vistoria!$H$6="SIM",COUNTIF('Anexo UTL'!$E$6:$E$12,"N1"),0)</f>
        <v/>
      </c>
      <c r="D21" s="57">
        <f>IF(Vistoria!$H$6="SIM",COUNTIF('Anexo UTL'!$E$6:$E$12,"N2"),0)</f>
        <v/>
      </c>
      <c r="E21" s="57">
        <f>IF(Vistoria!$H$6="SIM",COUNTIF('Anexo UTL'!$E$6:$E$12,"N3"),0)</f>
        <v/>
      </c>
      <c r="F21" s="57">
        <f>IF(Vistoria!$H$6="SIM",COUNTIF('Anexo UTL'!$E$6:$E$12,"N4"),0)</f>
        <v/>
      </c>
      <c r="G21" s="57">
        <f>IF(Vistoria!$H$6="SIM",COUNTIF('Anexo UTL'!$E$6:$E$12,"N/A"),0)</f>
        <v/>
      </c>
      <c r="H21" s="57">
        <f>IF(Vistoria!$H$6="SIM",COUNTIF('Anexo UTL'!$E$6:$E$12,"NV"),0)</f>
        <v/>
      </c>
      <c r="I21" s="57">
        <f>IF(Vistoria!$H$6="SIM",COUNTBLANK('Anexo UTL'!$E$6:$E$12),0)</f>
        <v/>
      </c>
      <c r="J21" s="58">
        <f>IF(Vistoria!$H$6="SIM",ROWS('Anexo UTL'!$E$6:$E$12),0)</f>
        <v/>
      </c>
      <c r="K21" s="58">
        <f>IF(Vistoria!$H$6&lt;&gt;"SIM","Não aplicável",IF(I21&gt;0,"Incompleto",IF(F21&gt;0,"CRÍTICO",IF(E21&gt;0,"Atenção (N3)",IF(D21&gt;0,"Apontamento","OK")))))</f>
        <v/>
      </c>
    </row>
    <row r="22">
      <c r="A22" s="60" t="inlineStr">
        <is>
          <t>TOTAL</t>
        </is>
      </c>
      <c r="B22" s="23">
        <f>SUM(B10:B21)</f>
        <v/>
      </c>
      <c r="C22" s="23">
        <f>SUM(C10:C21)</f>
        <v/>
      </c>
      <c r="D22" s="23">
        <f>SUM(D10:D21)</f>
        <v/>
      </c>
      <c r="E22" s="23">
        <f>SUM(E10:E21)</f>
        <v/>
      </c>
      <c r="F22" s="23">
        <f>SUM(F10:F21)</f>
        <v/>
      </c>
      <c r="G22" s="23">
        <f>SUM(G10:G21)</f>
        <v/>
      </c>
      <c r="H22" s="23">
        <f>SUM(H10:H21)</f>
        <v/>
      </c>
      <c r="I22" s="23">
        <f>SUM(I10:I21)</f>
        <v/>
      </c>
      <c r="J22" s="23">
        <f>SUM(J10:J21)</f>
        <v/>
      </c>
      <c r="K22" s="61" t="n"/>
    </row>
    <row r="24" ht="22" customHeight="1">
      <c r="A24" s="31" t="inlineStr">
        <is>
          <t>Indicador</t>
        </is>
      </c>
      <c r="B24" s="31" t="inlineStr">
        <is>
          <t>Valor</t>
        </is>
      </c>
      <c r="C24" s="45" t="n"/>
    </row>
    <row r="25">
      <c r="A25" s="62" t="inlineStr">
        <is>
          <t>Itens em branco (a preencher)</t>
        </is>
      </c>
      <c r="B25" s="63">
        <f>I22</f>
        <v/>
      </c>
    </row>
    <row r="26">
      <c r="A26" s="62" t="inlineStr">
        <is>
          <t>NV em Identificação veicular (IDV)</t>
        </is>
      </c>
      <c r="B26" s="63">
        <f>COUNTIFS(Vistoria!$A$15:$A$109,"IDV",Vistoria!$E$15:$E$109,"NV")</f>
        <v/>
      </c>
    </row>
    <row r="27">
      <c r="A27" s="62" t="inlineStr">
        <is>
          <t>Achados N4 (Crítico)</t>
        </is>
      </c>
      <c r="B27" s="63">
        <f>F22</f>
        <v/>
      </c>
    </row>
    <row r="28">
      <c r="A28" s="62" t="inlineStr">
        <is>
          <t>Achados N3 (Apontamento relevante — ATENÇÃO)</t>
        </is>
      </c>
      <c r="B28" s="63">
        <f>E22</f>
        <v/>
      </c>
    </row>
    <row r="29">
      <c r="A29" s="62" t="inlineStr">
        <is>
          <t>Achados N2 (Apontamento)</t>
        </is>
      </c>
      <c r="B29" s="63">
        <f>D22</f>
        <v/>
      </c>
    </row>
    <row r="30">
      <c r="A30" s="62" t="inlineStr">
        <is>
          <t>Achados N1 (Observação)</t>
        </is>
      </c>
      <c r="B30" s="63">
        <f>C22</f>
        <v/>
      </c>
    </row>
    <row r="31">
      <c r="A31" s="62" t="inlineStr">
        <is>
          <t>Itens verificados (N0–N4)</t>
        </is>
      </c>
      <c r="B31" s="63">
        <f>SUM(B22:F22)</f>
        <v/>
      </c>
    </row>
    <row r="33" ht="30" customHeight="1">
      <c r="A33" s="64" t="inlineStr">
        <is>
          <t>Ordem da matriz: 1) itens em branco → INCOMPLETO; 2) NV em Identificação veicular → INCONCLUSIVO (o laudo não conclui e descreve o motivo); 3) algum N4 → REPROVADO; 4) algum N2/N3 → APROVADO COM APONTAMENTOS; 5) só N0/N1/N/A → APROVADO. A classificação refere-se ao exame técnico visual e não destrutivo no momento da vistoria; não garante o veículo.</t>
        </is>
      </c>
    </row>
    <row r="34" ht="30" customHeight="1"/>
  </sheetData>
  <mergeCells count="13">
    <mergeCell ref="B24:C24"/>
    <mergeCell ref="B30:C30"/>
    <mergeCell ref="A33:K34"/>
    <mergeCell ref="B29:C29"/>
    <mergeCell ref="B4:K4"/>
    <mergeCell ref="B25:C25"/>
    <mergeCell ref="A7:K7"/>
    <mergeCell ref="B28:C28"/>
    <mergeCell ref="B6:K6"/>
    <mergeCell ref="B31:C31"/>
    <mergeCell ref="B26:C26"/>
    <mergeCell ref="B27:C27"/>
    <mergeCell ref="A1:K1"/>
  </mergeCells>
  <conditionalFormatting sqref="K10:K21">
    <cfRule type="expression" priority="1" dxfId="4">
      <formula>LEFT(K10,7)="CRÍTICO"</formula>
    </cfRule>
    <cfRule type="expression" priority="2" dxfId="3">
      <formula>LEFT(K10,7)="Atenção"</formula>
    </cfRule>
    <cfRule type="expression" priority="3" dxfId="2">
      <formula>LEFT(K10,11)="Apontamento"</formula>
    </cfRule>
    <cfRule type="expression" priority="4" dxfId="0">
      <formula>LEFT(K10,2)="OK"</formula>
    </cfRule>
    <cfRule type="expression" priority="5" dxfId="7">
      <formula>LEFT(K10,10)="Incompleto"</formula>
    </cfRule>
  </conditionalFormatting>
  <conditionalFormatting sqref="B6:K6">
    <cfRule type="expression" priority="6" dxfId="8">
      <formula>LEFT($B$6,12)="INCONCLUSIVO"</formula>
    </cfRule>
    <cfRule type="expression" priority="7" dxfId="9">
      <formula>LEFT($B$6,9)="REPROVADO"</formula>
    </cfRule>
    <cfRule type="expression" priority="8" dxfId="10">
      <formula>LEFT($B$6,12)="APROVADO COM"</formula>
    </cfRule>
    <cfRule type="expression" priority="9" dxfId="11">
      <formula>LEFT($B$6,10)="INCOMPLETO"</formula>
    </cfRule>
    <cfRule type="expression" priority="10" dxfId="12">
      <formula>$B$6="APROVADO"</formula>
    </cfRule>
  </conditionalFormatting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1318"/>
    <outlinePr summaryBelow="1" summaryRight="1"/>
    <pageSetUpPr fitToPage="1"/>
  </sheetPr>
  <dimension ref="A1:H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46" customWidth="1" min="4" max="4"/>
    <col width="8" customWidth="1" min="5" max="5"/>
    <col width="38" customWidth="1" min="6" max="6"/>
    <col width="8" customWidth="1" min="7" max="7"/>
    <col width="10" customWidth="1" min="8" max="8"/>
  </cols>
  <sheetData>
    <row r="1" ht="28" customHeight="1">
      <c r="A1" s="17" t="inlineStr">
        <is>
          <t>PROTOCOLO CAUTELAR  |  ANEXO MOTO — MOTOCICLETAS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65" t="inlineStr">
        <is>
          <t>Roteiro específico para motos: identificação, quadro e conjunto de transmissão.  Só entra na contagem se 'MOTO aplicável?' = SIM na aba Vistoria.</t>
        </is>
      </c>
    </row>
    <row r="3">
      <c r="A3" s="19" t="inlineStr">
        <is>
          <t>Aplicável?</t>
        </is>
      </c>
      <c r="B3" s="63">
        <f>Vistoria!$H$5</f>
        <v/>
      </c>
    </row>
    <row r="5" ht="30" customHeight="1">
      <c r="A5" s="31" t="inlineStr">
        <is>
          <t>Sistema</t>
        </is>
      </c>
      <c r="B5" s="31" t="inlineStr">
        <is>
          <t>Item</t>
        </is>
      </c>
      <c r="C5" s="31" t="inlineStr">
        <is>
          <t>Descrição do item</t>
        </is>
      </c>
      <c r="D5" s="31" t="inlineStr">
        <is>
          <t>O que verificar</t>
        </is>
      </c>
      <c r="E5" s="31" t="inlineStr">
        <is>
          <t>Nível</t>
        </is>
      </c>
      <c r="F5" s="31" t="inlineStr">
        <is>
          <t>Observação / constatação</t>
        </is>
      </c>
      <c r="G5" s="31" t="inlineStr">
        <is>
          <t>Foto nº</t>
        </is>
      </c>
      <c r="H5" s="31" t="inlineStr">
        <is>
          <t>Foto obrigatória?</t>
        </is>
      </c>
    </row>
    <row r="6" ht="27" customHeight="1">
      <c r="A6" s="32" t="inlineStr">
        <is>
          <t>MOTO</t>
        </is>
      </c>
      <c r="B6" s="42" t="inlineStr">
        <is>
          <t>MOTO-01</t>
        </is>
      </c>
      <c r="C6" s="34" t="inlineStr">
        <is>
          <t>Número do quadro (chassi) e do motor</t>
        </is>
      </c>
      <c r="D6" s="34" t="inlineStr">
        <is>
          <t>Local do fabricante, legibilidade, conferência com o documento.</t>
        </is>
      </c>
      <c r="E6" s="35" t="n"/>
      <c r="F6" s="36" t="n"/>
      <c r="G6" s="37" t="n"/>
      <c r="H6" s="32" t="inlineStr">
        <is>
          <t>SIM</t>
        </is>
      </c>
    </row>
    <row r="7" ht="27" customHeight="1">
      <c r="A7" s="32" t="inlineStr">
        <is>
          <t>MOTO</t>
        </is>
      </c>
      <c r="B7" s="42" t="inlineStr">
        <is>
          <t>MOTO-02</t>
        </is>
      </c>
      <c r="C7" s="34" t="inlineStr">
        <is>
          <t>Quadro: soldas, trincas, alinhamento</t>
        </is>
      </c>
      <c r="D7" s="34" t="inlineStr">
        <is>
          <t>Solda fora de padrão, pintura do quadro, desalinhamento de rodas.</t>
        </is>
      </c>
      <c r="E7" s="35" t="n"/>
      <c r="F7" s="36" t="n"/>
      <c r="G7" s="37" t="n"/>
      <c r="H7" s="32" t="inlineStr">
        <is>
          <t>SIM</t>
        </is>
      </c>
    </row>
    <row r="8" ht="27" customHeight="1">
      <c r="A8" s="32" t="inlineStr">
        <is>
          <t>MOTO</t>
        </is>
      </c>
      <c r="B8" s="33" t="inlineStr">
        <is>
          <t>MOTO-03</t>
        </is>
      </c>
      <c r="C8" s="34" t="inlineStr">
        <is>
          <t>Garfo e mesas</t>
        </is>
      </c>
      <c r="D8" s="34" t="inlineStr">
        <is>
          <t>Retentores vazando, tubos riscados/empenados, mesas desalinhadas.</t>
        </is>
      </c>
      <c r="E8" s="35" t="n"/>
      <c r="F8" s="36" t="n"/>
      <c r="G8" s="37" t="n"/>
      <c r="H8" s="32" t="inlineStr">
        <is>
          <t>SIM</t>
        </is>
      </c>
    </row>
    <row r="9" ht="27" customHeight="1">
      <c r="A9" s="32" t="inlineStr">
        <is>
          <t>MOTO</t>
        </is>
      </c>
      <c r="B9" s="33" t="inlineStr">
        <is>
          <t>MOTO-04</t>
        </is>
      </c>
      <c r="C9" s="34" t="inlineStr">
        <is>
          <t>Balança e rolamentos da caixa de direção</t>
        </is>
      </c>
      <c r="D9" s="34" t="inlineStr">
        <is>
          <t>Folgas, marcação na caixa de direção.</t>
        </is>
      </c>
      <c r="E9" s="35" t="n"/>
      <c r="F9" s="36" t="n"/>
      <c r="G9" s="37" t="n"/>
      <c r="H9" s="32" t="inlineStr">
        <is>
          <t>—</t>
        </is>
      </c>
    </row>
    <row r="10" ht="27" customHeight="1">
      <c r="A10" s="32" t="inlineStr">
        <is>
          <t>MOTO</t>
        </is>
      </c>
      <c r="B10" s="33" t="inlineStr">
        <is>
          <t>MOTO-05</t>
        </is>
      </c>
      <c r="C10" s="34" t="inlineStr">
        <is>
          <t>Kit de transmissão (corrente, coroa, pinhão)</t>
        </is>
      </c>
      <c r="D10" s="34" t="inlineStr">
        <is>
          <t>Dentes pontudos, corrente com folga irregular.</t>
        </is>
      </c>
      <c r="E10" s="35" t="n"/>
      <c r="F10" s="36" t="n"/>
      <c r="G10" s="37" t="n"/>
      <c r="H10" s="32" t="inlineStr">
        <is>
          <t>SIM</t>
        </is>
      </c>
    </row>
    <row r="11" ht="15" customHeight="1">
      <c r="A11" s="32" t="inlineStr">
        <is>
          <t>MOTO</t>
        </is>
      </c>
      <c r="B11" s="33" t="inlineStr">
        <is>
          <t>MOTO-06</t>
        </is>
      </c>
      <c r="C11" s="34" t="inlineStr">
        <is>
          <t>Pneus e rodas (raios/liga)</t>
        </is>
      </c>
      <c r="D11" s="34" t="inlineStr">
        <is>
          <t>Sulco, DOT, raios soltos, aro empenado.</t>
        </is>
      </c>
      <c r="E11" s="35" t="n"/>
      <c r="F11" s="36" t="n"/>
      <c r="G11" s="37" t="n"/>
      <c r="H11" s="32" t="inlineStr">
        <is>
          <t>SIM</t>
        </is>
      </c>
    </row>
    <row r="12" ht="15" customHeight="1">
      <c r="A12" s="32" t="inlineStr">
        <is>
          <t>MOTO</t>
        </is>
      </c>
      <c r="B12" s="33" t="inlineStr">
        <is>
          <t>MOTO-07</t>
        </is>
      </c>
      <c r="C12" s="34" t="inlineStr">
        <is>
          <t>Freios (disco/tambor) e fluido</t>
        </is>
      </c>
      <c r="D12" s="34" t="inlineStr">
        <is>
          <t>Espessura, fluido, flexíveis.</t>
        </is>
      </c>
      <c r="E12" s="35" t="n"/>
      <c r="F12" s="36" t="n"/>
      <c r="G12" s="37" t="n"/>
      <c r="H12" s="32" t="inlineStr">
        <is>
          <t>SIM</t>
        </is>
      </c>
    </row>
    <row r="13" ht="27" customHeight="1">
      <c r="A13" s="32" t="inlineStr">
        <is>
          <t>MOTO</t>
        </is>
      </c>
      <c r="B13" s="33" t="inlineStr">
        <is>
          <t>MOTO-08</t>
        </is>
      </c>
      <c r="C13" s="34" t="inlineStr">
        <is>
          <t>Carenagens e sinais de queda</t>
        </is>
      </c>
      <c r="D13" s="34" t="inlineStr">
        <is>
          <t>Pedaleiras, manetes, ponteiras de guidão, riscos em carenagem e escapamento.</t>
        </is>
      </c>
      <c r="E13" s="35" t="n"/>
      <c r="F13" s="36" t="n"/>
      <c r="G13" s="37" t="n"/>
      <c r="H13" s="32" t="inlineStr">
        <is>
          <t>SIM</t>
        </is>
      </c>
    </row>
    <row r="14" ht="27" customHeight="1">
      <c r="A14" s="32" t="inlineStr">
        <is>
          <t>MOTO</t>
        </is>
      </c>
      <c r="B14" s="33" t="inlineStr">
        <is>
          <t>MOTO-09</t>
        </is>
      </c>
      <c r="C14" s="34" t="inlineStr">
        <is>
          <t>Motor: partida, ruídos, fumaça e vazamentos</t>
        </is>
      </c>
      <c r="D14" s="34" t="inlineStr">
        <is>
          <t>Partida a frio, embreagem, fumaça.</t>
        </is>
      </c>
      <c r="E14" s="35" t="n"/>
      <c r="F14" s="36" t="n"/>
      <c r="G14" s="37" t="n"/>
      <c r="H14" s="32" t="inlineStr">
        <is>
          <t>—</t>
        </is>
      </c>
    </row>
    <row r="15" ht="15" customHeight="1">
      <c r="A15" s="32" t="inlineStr">
        <is>
          <t>MOTO</t>
        </is>
      </c>
      <c r="B15" s="33" t="inlineStr">
        <is>
          <t>MOTO-10</t>
        </is>
      </c>
      <c r="C15" s="34" t="inlineStr">
        <is>
          <t>Elétrica e iluminação</t>
        </is>
      </c>
      <c r="D15" s="34" t="inlineStr">
        <is>
          <t>Faróis, setas, buzina, painel.</t>
        </is>
      </c>
      <c r="E15" s="35" t="n"/>
      <c r="F15" s="36" t="n"/>
      <c r="G15" s="37" t="n"/>
      <c r="H15" s="32" t="inlineStr">
        <is>
          <t>—</t>
        </is>
      </c>
    </row>
  </sheetData>
  <mergeCells count="2">
    <mergeCell ref="A2:H2"/>
    <mergeCell ref="A1:H1"/>
  </mergeCells>
  <conditionalFormatting sqref="E6:E15">
    <cfRule type="cellIs" priority="1" operator="equal" dxfId="0">
      <formula>"N0"</formula>
    </cfRule>
    <cfRule type="cellIs" priority="2" operator="equal" dxfId="1">
      <formula>"N1"</formula>
    </cfRule>
    <cfRule type="cellIs" priority="3" operator="equal" dxfId="2">
      <formula>"N2"</formula>
    </cfRule>
    <cfRule type="cellIs" priority="4" operator="equal" dxfId="3">
      <formula>"N3"</formula>
    </cfRule>
    <cfRule type="cellIs" priority="5" operator="equal" dxfId="4">
      <formula>"N4"</formula>
    </cfRule>
    <cfRule type="cellIs" priority="6" operator="equal" dxfId="5">
      <formula>"NV"</formula>
    </cfRule>
    <cfRule type="cellIs" priority="7" operator="equal" dxfId="6">
      <formula>"N/A"</formula>
    </cfRule>
  </conditionalFormatting>
  <dataValidations count="1">
    <dataValidation sqref="E6:E15" showDropDown="0" showInputMessage="0" showErrorMessage="1" allowBlank="1" error="Use N0, N1, N2, N3, N4 ou N/A." type="list">
      <formula1>"N0,N1,N2,N3,N4,N/A"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F1318"/>
    <outlinePr summaryBelow="1" summaryRight="1"/>
    <pageSetUpPr fitToPage="1"/>
  </sheetPr>
  <dimension ref="A1:H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46" customWidth="1" min="4" max="4"/>
    <col width="8" customWidth="1" min="5" max="5"/>
    <col width="38" customWidth="1" min="6" max="6"/>
    <col width="8" customWidth="1" min="7" max="7"/>
    <col width="10" customWidth="1" min="8" max="8"/>
  </cols>
  <sheetData>
    <row r="1" ht="28" customHeight="1">
      <c r="A1" s="17" t="inlineStr">
        <is>
          <t>PROTOCOLO CAUTELAR  |  ANEXO UTL — UTILITÁRIOS, PICAPES E VEÍCULOS COM CHASSI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65" t="inlineStr">
        <is>
          <t>Pontos adicionais para veículos com chassi longarina e uso de carga.  Só entra na contagem se 'UTL aplicável?' = SIM na aba Vistoria.</t>
        </is>
      </c>
    </row>
    <row r="3">
      <c r="A3" s="19" t="inlineStr">
        <is>
          <t>Aplicável?</t>
        </is>
      </c>
      <c r="B3" s="63">
        <f>Vistoria!$H$6</f>
        <v/>
      </c>
    </row>
    <row r="5" ht="30" customHeight="1">
      <c r="A5" s="31" t="inlineStr">
        <is>
          <t>Sistema</t>
        </is>
      </c>
      <c r="B5" s="31" t="inlineStr">
        <is>
          <t>Item</t>
        </is>
      </c>
      <c r="C5" s="31" t="inlineStr">
        <is>
          <t>Descrição do item</t>
        </is>
      </c>
      <c r="D5" s="31" t="inlineStr">
        <is>
          <t>O que verificar</t>
        </is>
      </c>
      <c r="E5" s="31" t="inlineStr">
        <is>
          <t>Nível</t>
        </is>
      </c>
      <c r="F5" s="31" t="inlineStr">
        <is>
          <t>Observação / constatação</t>
        </is>
      </c>
      <c r="G5" s="31" t="inlineStr">
        <is>
          <t>Foto nº</t>
        </is>
      </c>
      <c r="H5" s="31" t="inlineStr">
        <is>
          <t>Foto obrigatória?</t>
        </is>
      </c>
    </row>
    <row r="6" ht="27" customHeight="1">
      <c r="A6" s="32" t="inlineStr">
        <is>
          <t>UTL</t>
        </is>
      </c>
      <c r="B6" s="42" t="inlineStr">
        <is>
          <t>UTL-01</t>
        </is>
      </c>
      <c r="C6" s="34" t="inlineStr">
        <is>
          <t>Chassi: longarinas em toda a extensão</t>
        </is>
      </c>
      <c r="D6" s="34" t="inlineStr">
        <is>
          <t>Solda, reforço aplicado, emenda, trinca próxima a suportes.</t>
        </is>
      </c>
      <c r="E6" s="35" t="n"/>
      <c r="F6" s="36" t="n"/>
      <c r="G6" s="37" t="n"/>
      <c r="H6" s="32" t="inlineStr">
        <is>
          <t>SIM</t>
        </is>
      </c>
    </row>
    <row r="7" ht="15" customHeight="1">
      <c r="A7" s="32" t="inlineStr">
        <is>
          <t>UTL</t>
        </is>
      </c>
      <c r="B7" s="33" t="inlineStr">
        <is>
          <t>UTL-02</t>
        </is>
      </c>
      <c r="C7" s="34" t="inlineStr">
        <is>
          <t>Travessas e suportes da carroceria</t>
        </is>
      </c>
      <c r="D7" s="34" t="inlineStr">
        <is>
          <t>Trincas, reforços, parafusos faltando.</t>
        </is>
      </c>
      <c r="E7" s="35" t="n"/>
      <c r="F7" s="36" t="n"/>
      <c r="G7" s="37" t="n"/>
      <c r="H7" s="32" t="inlineStr">
        <is>
          <t>SIM</t>
        </is>
      </c>
    </row>
    <row r="8" ht="15" customHeight="1">
      <c r="A8" s="32" t="inlineStr">
        <is>
          <t>UTL</t>
        </is>
      </c>
      <c r="B8" s="33" t="inlineStr">
        <is>
          <t>UTL-03</t>
        </is>
      </c>
      <c r="C8" s="34" t="inlineStr">
        <is>
          <t>Caçamba/baú: fixação e deformações</t>
        </is>
      </c>
      <c r="D8" s="34" t="inlineStr">
        <is>
          <t>Alinhamento com a cabine, assoalho da caçamba.</t>
        </is>
      </c>
      <c r="E8" s="35" t="n"/>
      <c r="F8" s="36" t="n"/>
      <c r="G8" s="37" t="n"/>
      <c r="H8" s="32" t="inlineStr">
        <is>
          <t>SIM</t>
        </is>
      </c>
    </row>
    <row r="9" ht="27" customHeight="1">
      <c r="A9" s="32" t="inlineStr">
        <is>
          <t>UTL</t>
        </is>
      </c>
      <c r="B9" s="33" t="inlineStr">
        <is>
          <t>UTL-04</t>
        </is>
      </c>
      <c r="C9" s="34" t="inlineStr">
        <is>
          <t>Engate e sinais de reboque pesado</t>
        </is>
      </c>
      <c r="D9" s="34" t="inlineStr">
        <is>
          <t>Engate registrado quando exigido, desgaste do conjunto.</t>
        </is>
      </c>
      <c r="E9" s="35" t="n"/>
      <c r="F9" s="36" t="n"/>
      <c r="G9" s="37" t="n"/>
      <c r="H9" s="32" t="inlineStr">
        <is>
          <t>SIM</t>
        </is>
      </c>
    </row>
    <row r="10" ht="15" customHeight="1">
      <c r="A10" s="32" t="inlineStr">
        <is>
          <t>UTL</t>
        </is>
      </c>
      <c r="B10" s="33" t="inlineStr">
        <is>
          <t>UTL-05</t>
        </is>
      </c>
      <c r="C10" s="34" t="inlineStr">
        <is>
          <t>Feixes de mola e suspensão de carga</t>
        </is>
      </c>
      <c r="D10" s="34" t="inlineStr">
        <is>
          <t>Molas quebradas, calços, suspensão alterada.</t>
        </is>
      </c>
      <c r="E10" s="35" t="n"/>
      <c r="F10" s="36" t="n"/>
      <c r="G10" s="37" t="n"/>
      <c r="H10" s="32" t="inlineStr">
        <is>
          <t>SIM</t>
        </is>
      </c>
    </row>
    <row r="11" ht="15" customHeight="1">
      <c r="A11" s="32" t="inlineStr">
        <is>
          <t>UTL</t>
        </is>
      </c>
      <c r="B11" s="33" t="inlineStr">
        <is>
          <t>UTL-06</t>
        </is>
      </c>
      <c r="C11" s="34" t="inlineStr">
        <is>
          <t>Tração 4x4 e reduzida</t>
        </is>
      </c>
      <c r="D11" s="34" t="inlineStr">
        <is>
          <t>Engate, ruídos, luzes; diferencial e cardã.</t>
        </is>
      </c>
      <c r="E11" s="35" t="n"/>
      <c r="F11" s="36" t="n"/>
      <c r="G11" s="37" t="n"/>
      <c r="H11" s="32" t="inlineStr">
        <is>
          <t>—</t>
        </is>
      </c>
    </row>
    <row r="12" ht="27" customHeight="1">
      <c r="A12" s="32" t="inlineStr">
        <is>
          <t>UTL</t>
        </is>
      </c>
      <c r="B12" s="33" t="inlineStr">
        <is>
          <t>UTL-07</t>
        </is>
      </c>
      <c r="C12" s="34" t="inlineStr">
        <is>
          <t>Modificações (suspensão, rodas, carroceria)</t>
        </is>
      </c>
      <c r="D12" s="34" t="inlineStr">
        <is>
          <t>Alteração de característica exige regularização e registro no documento.</t>
        </is>
      </c>
      <c r="E12" s="35" t="n"/>
      <c r="F12" s="36" t="n"/>
      <c r="G12" s="37" t="n"/>
      <c r="H12" s="32" t="inlineStr">
        <is>
          <t>SIM</t>
        </is>
      </c>
    </row>
  </sheetData>
  <mergeCells count="2">
    <mergeCell ref="A2:H2"/>
    <mergeCell ref="A1:H1"/>
  </mergeCells>
  <conditionalFormatting sqref="E6:E12">
    <cfRule type="cellIs" priority="1" operator="equal" dxfId="0">
      <formula>"N0"</formula>
    </cfRule>
    <cfRule type="cellIs" priority="2" operator="equal" dxfId="1">
      <formula>"N1"</formula>
    </cfRule>
    <cfRule type="cellIs" priority="3" operator="equal" dxfId="2">
      <formula>"N2"</formula>
    </cfRule>
    <cfRule type="cellIs" priority="4" operator="equal" dxfId="3">
      <formula>"N3"</formula>
    </cfRule>
    <cfRule type="cellIs" priority="5" operator="equal" dxfId="4">
      <formula>"N4"</formula>
    </cfRule>
    <cfRule type="cellIs" priority="6" operator="equal" dxfId="5">
      <formula>"NV"</formula>
    </cfRule>
    <cfRule type="cellIs" priority="7" operator="equal" dxfId="6">
      <formula>"N/A"</formula>
    </cfRule>
  </conditionalFormatting>
  <dataValidations count="1">
    <dataValidation sqref="E6:E12" showDropDown="0" showInputMessage="0" showErrorMessage="1" allowBlank="1" error="Use N0, N1, N2, N3, N4 ou N/A." type="list">
      <formula1>"N0,N1,N2,N3,N4,N/A"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1318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50" customWidth="1" min="4" max="4"/>
  </cols>
  <sheetData>
    <row r="1" ht="28" customHeight="1">
      <c r="A1" s="17" t="inlineStr">
        <is>
          <t>PROTOCOLO CAUTELAR  |  CRITÉRIO N0–N4 E MATRIZ DE CLASSIFICAÇÃO</t>
        </is>
      </c>
      <c r="B1" s="1" t="n"/>
      <c r="C1" s="1" t="n"/>
      <c r="D1" s="1" t="n"/>
    </row>
    <row r="4" ht="30" customHeight="1">
      <c r="A4" s="31" t="inlineStr">
        <is>
          <t>Nível</t>
        </is>
      </c>
      <c r="B4" s="31" t="inlineStr">
        <is>
          <t>Nome</t>
        </is>
      </c>
      <c r="C4" s="31" t="inlineStr">
        <is>
          <t>Definição</t>
        </is>
      </c>
      <c r="D4" s="31" t="inlineStr">
        <is>
          <t>Exemplos</t>
        </is>
      </c>
    </row>
    <row r="5" ht="42" customHeight="1">
      <c r="A5" s="49" t="inlineStr">
        <is>
          <t>N0</t>
        </is>
      </c>
      <c r="B5" s="66" t="inlineStr">
        <is>
          <t>Conforme</t>
        </is>
      </c>
      <c r="C5" s="40" t="inlineStr">
        <is>
          <t>Sem anormalidade observável.</t>
        </is>
      </c>
      <c r="D5" s="40" t="inlineStr">
        <is>
          <t>—</t>
        </is>
      </c>
    </row>
    <row r="6" ht="42" customHeight="1">
      <c r="A6" s="50" t="inlineStr">
        <is>
          <t>N1</t>
        </is>
      </c>
      <c r="B6" s="66" t="inlineStr">
        <is>
          <t>Observação</t>
        </is>
      </c>
      <c r="C6" s="40" t="inlineStr">
        <is>
          <t>Desgaste natural, estético leve ou manutenção de rotina.</t>
        </is>
      </c>
      <c r="D6" s="40" t="inlineStr">
        <is>
          <t>Riscos superficiais; pneu com ~50% de vida; pastilha a meia vida.</t>
        </is>
      </c>
    </row>
    <row r="7" ht="42" customHeight="1">
      <c r="A7" s="51" t="inlineStr">
        <is>
          <t>N2</t>
        </is>
      </c>
      <c r="B7" s="66" t="inlineStr">
        <is>
          <t>Apontamento</t>
        </is>
      </c>
      <c r="C7" s="40" t="inlineStr">
        <is>
          <t>Repintura, peça de revestimento substituída ou reparada, manutenção necessária em breve.</t>
        </is>
      </c>
      <c r="D7" s="40" t="inlineStr">
        <is>
          <t>Porta repintada; paralama substituído; vazamento leve.</t>
        </is>
      </c>
    </row>
    <row r="8" ht="42" customHeight="1">
      <c r="A8" s="52" t="inlineStr">
        <is>
          <t>N3</t>
        </is>
      </c>
      <c r="B8" s="66" t="inlineStr">
        <is>
          <t>Apontamento relevante</t>
        </is>
      </c>
      <c r="C8" s="40" t="inlineStr">
        <is>
          <t>Reparo que indica impacto significativo, reparo em área de absorção, item de segurança fora de condição ou falha funcional relevante.</t>
        </is>
      </c>
      <c r="D8" s="40" t="inlineStr">
        <is>
          <t>Painel frontal (quadro do radiador) substituído; ponteira de longarina reparada; pneu abaixo do TWI; luz de airbag acesa.</t>
        </is>
      </c>
    </row>
    <row r="9" ht="42" customHeight="1">
      <c r="A9" s="53" t="inlineStr">
        <is>
          <t>N4</t>
        </is>
      </c>
      <c r="B9" s="66" t="inlineStr">
        <is>
          <t>Crítico</t>
        </is>
      </c>
      <c r="C9" s="40" t="inlineStr">
        <is>
          <t>Dano ou reparo em estrutura de sustentação, indícios de enchente ou incêndio, divergência na identificação veicular.</t>
        </is>
      </c>
      <c r="D9" s="40" t="inlineStr">
        <is>
          <t>Reparo em corpo de longarina, torre, coluna, soleira, assoalho ou painel corta-fogo; lodo em áreas ocultas; numeração divergente.</t>
        </is>
      </c>
    </row>
    <row r="10" ht="42" customHeight="1">
      <c r="A10" s="67" t="inlineStr">
        <is>
          <t>N/A</t>
        </is>
      </c>
      <c r="B10" s="66" t="inlineStr">
        <is>
          <t>Não se aplica</t>
        </is>
      </c>
      <c r="C10" s="40" t="inlineStr">
        <is>
          <t>O item não existe neste veículo (ex.: teto solar ausente). Conta como preenchido e não afeta a classificação.</t>
        </is>
      </c>
      <c r="D10" s="40" t="inlineStr"/>
    </row>
    <row r="11" ht="42" customHeight="1">
      <c r="A11" s="55" t="inlineStr">
        <is>
          <t>NV</t>
        </is>
      </c>
      <c r="B11" s="66" t="inlineStr">
        <is>
          <t>Não verificável</t>
        </is>
      </c>
      <c r="C11" s="40" t="inlineStr">
        <is>
          <t>Somente em Identificação veicular (IDV): o elemento não pôde ser localizado/conferido. Qualquer NV → INCONCLUSIVO. Registre o motivo e oriente conferência por perícia oficial/autoridade.</t>
        </is>
      </c>
      <c r="D11" s="40" t="inlineStr"/>
    </row>
    <row r="13" ht="30" customHeight="1">
      <c r="A13" s="31" t="inlineStr">
        <is>
          <t>Ordem</t>
        </is>
      </c>
      <c r="B13" s="31" t="inlineStr">
        <is>
          <t>Classificação</t>
        </is>
      </c>
      <c r="C13" s="31" t="inlineStr">
        <is>
          <t>Regra</t>
        </is>
      </c>
      <c r="D13" s="31" t="inlineStr">
        <is>
          <t>Observação</t>
        </is>
      </c>
    </row>
    <row r="14" ht="32" customHeight="1">
      <c r="A14" s="68" t="n">
        <v>1</v>
      </c>
      <c r="B14" s="69" t="inlineStr">
        <is>
          <t>INCONCLUSIVO</t>
        </is>
      </c>
      <c r="C14" s="40" t="inlineStr">
        <is>
          <t>Algum item de identificação não pôde ser verificado.</t>
        </is>
      </c>
      <c r="D14" s="40" t="inlineStr">
        <is>
          <t>O laudo não conclui; descreve o que não pôde ser verificado e por quê.</t>
        </is>
      </c>
    </row>
    <row r="15" ht="32" customHeight="1">
      <c r="A15" s="68" t="n">
        <v>2</v>
      </c>
      <c r="B15" s="70" t="inlineStr">
        <is>
          <t>REPROVADO</t>
        </is>
      </c>
      <c r="C15" s="40" t="inlineStr">
        <is>
          <t>Pelo menos um achado N4.</t>
        </is>
      </c>
      <c r="D15" s="40" t="inlineStr">
        <is>
          <t>Descrever o achado N4 com foto; divergência de identificação: registrar e orientar perícia.</t>
        </is>
      </c>
    </row>
    <row r="16" ht="32" customHeight="1">
      <c r="A16" s="68" t="n">
        <v>3</v>
      </c>
      <c r="B16" s="71" t="inlineStr">
        <is>
          <t>APROVADO COM APONTAMENTOS</t>
        </is>
      </c>
      <c r="C16" s="40" t="inlineStr">
        <is>
          <t>Pelo menos um achado N2 ou N3 (N3 em destaque).</t>
        </is>
      </c>
      <c r="D16" s="40" t="inlineStr">
        <is>
          <t>N3 aparece em destaque "Atenção".</t>
        </is>
      </c>
    </row>
    <row r="17" ht="32" customHeight="1">
      <c r="A17" s="68" t="n">
        <v>4</v>
      </c>
      <c r="B17" s="72" t="inlineStr">
        <is>
          <t>APROVADO</t>
        </is>
      </c>
      <c r="C17" s="40" t="inlineStr">
        <is>
          <t>Somente achados N0 ou N1.</t>
        </is>
      </c>
      <c r="D17" s="40" t="inlineStr">
        <is>
          <t>Vale para o exame visual naquele momento; não garante o veículo.</t>
        </is>
      </c>
    </row>
    <row r="19" ht="44" customHeight="1">
      <c r="A19" s="64" t="inlineStr">
        <is>
          <t>Nesta planilha, antes da matriz, qualquer item em branco resulta em "INCOMPLETO – faltam X itens": preencha todos (use N/A quando o item não existir). Você pode publicar a sua própria matriz; mantenha a mesma no laudo, na planilha e no contrato.</t>
        </is>
      </c>
    </row>
  </sheetData>
  <mergeCells count="2">
    <mergeCell ref="A1:D1"/>
    <mergeCell ref="A19:D19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2026-09-30T19:45:35Z</dcterms:created>
  <dcterms:modified xmlns:dcterms="http://purl.org/dc/terms/" xmlns:xsi="http://www.w3.org/2001/XMLSchema-instance" xsi:type="dcterms:W3CDTF">2026-09-30T19:45:35Z</dcterms:modified>
</cp:coreProperties>
</file>