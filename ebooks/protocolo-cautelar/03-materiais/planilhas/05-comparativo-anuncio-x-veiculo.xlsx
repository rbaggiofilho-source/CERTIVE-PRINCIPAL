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Anúncio x Veículo" sheetId="2" state="visible" r:id="rId2"/>
    <sheet xmlns:r="http://schemas.openxmlformats.org/officeDocument/2006/relationships" name="Comparar veículos" sheetId="3" state="visible" r:id="rId3"/>
  </sheets>
  <definedNames>
    <definedName name="_xlnm.Print_Area" localSheetId="0">'Capa'!$A$1:$F$28</definedName>
    <definedName name="_xlnm.Print_Area" localSheetId="1">'Anúncio x Veículo'!$A$1:$E$26</definedName>
    <definedName name="_xlnm.Print_Area" localSheetId="2">'Comparar veículos'!$A$1:$D$28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-R$ #,##0.00;&quot;-&quot;"/>
  </numFmts>
  <fonts count="18">
    <font>
      <name val="Calibri"/>
      <family val="2"/>
      <color theme="1"/>
      <sz val="11"/>
      <scheme val="minor"/>
    </font>
    <font>
      <name val="Calibri"/>
      <b val="1"/>
      <color rgb="00F2A900"/>
      <sz val="24"/>
    </font>
    <font>
      <name val="Calibri"/>
      <i val="1"/>
      <color rgb="00C9CED6"/>
      <sz val="10"/>
    </font>
    <font>
      <name val="Calibri"/>
      <b val="1"/>
      <color rgb="00FFFFFF"/>
      <sz val="18"/>
    </font>
    <font>
      <name val="Calibri"/>
      <b val="1"/>
      <color rgb="000000FF"/>
      <sz val="11"/>
    </font>
    <font>
      <name val="Calibri"/>
      <b val="1"/>
      <color rgb="00B87F00"/>
      <sz val="12"/>
    </font>
    <font>
      <name val="Calibri"/>
      <color rgb="001A1F26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i val="1"/>
      <color rgb="004E5864"/>
      <sz val="9"/>
    </font>
    <font>
      <name val="Calibri"/>
      <i val="1"/>
      <color rgb="007A8591"/>
      <sz val="8"/>
    </font>
    <font>
      <name val="Calibri"/>
      <b val="1"/>
      <color rgb="00F2A900"/>
      <sz val="14"/>
    </font>
    <font>
      <name val="Calibri"/>
      <b val="1"/>
      <color rgb="004E5864"/>
      <sz val="10"/>
    </font>
    <font>
      <name val="Calibri"/>
      <color rgb="004E5864"/>
      <sz val="10"/>
    </font>
    <font>
      <name val="Calibri"/>
      <b val="1"/>
      <color rgb="00000000"/>
      <sz val="11"/>
    </font>
    <font>
      <name val="Calibri"/>
      <color rgb="007A8591"/>
      <sz val="8"/>
    </font>
    <font>
      <name val="Calibri"/>
      <i val="1"/>
      <color rgb="001A1F26"/>
      <sz val="9"/>
    </font>
  </fonts>
  <fills count="8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318"/>
        <bgColor rgb="000F1318"/>
      </patternFill>
    </fill>
    <fill>
      <patternFill patternType="solid">
        <fgColor rgb="00F2A900"/>
        <bgColor rgb="00F2A900"/>
      </patternFill>
    </fill>
    <fill>
      <patternFill patternType="solid">
        <fgColor rgb="00FFF4D6"/>
        <bgColor rgb="00FFF4D6"/>
      </patternFill>
    </fill>
    <fill>
      <patternFill patternType="solid">
        <fgColor rgb="00EEF3FF"/>
        <bgColor rgb="00EEF3FF"/>
      </patternFill>
    </fill>
    <fill>
      <patternFill patternType="solid">
        <fgColor rgb="00F5F6F8"/>
        <bgColor rgb="00F5F6F8"/>
      </patternFill>
    </fill>
  </fills>
  <borders count="3">
    <border>
      <left/>
      <right/>
      <top/>
      <bottom/>
      <diagonal/>
    </border>
    <border>
      <left style="dashed">
        <color rgb="00B87F00"/>
      </left>
      <right style="dashed">
        <color rgb="00B87F00"/>
      </right>
      <top style="dashed">
        <color rgb="00B87F00"/>
      </top>
      <bottom style="dashed">
        <color rgb="00B87F00"/>
      </bottom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6" borderId="2" pivotButton="0" quotePrefix="0" xfId="0"/>
    <xf numFmtId="0" fontId="6" fillId="2" borderId="0" pivotButton="0" quotePrefix="0" xfId="0"/>
    <xf numFmtId="4" fontId="8" fillId="2" borderId="2" pivotButton="0" quotePrefix="0" xfId="0"/>
    <xf numFmtId="0" fontId="9" fillId="3" borderId="2" pivotButton="0" quotePrefix="0" xfId="0"/>
    <xf numFmtId="0" fontId="10" fillId="2" borderId="0" applyAlignment="1" pivotButton="0" quotePrefix="0" xfId="0">
      <alignment vertical="top" wrapText="1"/>
    </xf>
    <xf numFmtId="0" fontId="11" fillId="2" borderId="0" applyAlignment="1" pivotButton="0" quotePrefix="0" xfId="0">
      <alignment wrapText="1"/>
    </xf>
    <xf numFmtId="0" fontId="12" fillId="3" borderId="0" applyAlignment="1" pivotButton="0" quotePrefix="0" xfId="0">
      <alignment horizontal="left" vertical="center" indent="1"/>
    </xf>
    <xf numFmtId="0" fontId="13" fillId="7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7" fillId="6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164" fontId="7" fillId="6" borderId="2" applyAlignment="1" pivotButton="0" quotePrefix="0" xfId="0">
      <alignment horizontal="center" vertical="center" wrapText="1"/>
    </xf>
    <xf numFmtId="3" fontId="7" fillId="6" borderId="2" applyAlignment="1" pivotButton="0" quotePrefix="0" xfId="0">
      <alignment horizontal="center" vertical="center" wrapText="1"/>
    </xf>
    <xf numFmtId="1" fontId="7" fillId="6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left" vertical="center" wrapText="1"/>
    </xf>
    <xf numFmtId="164" fontId="15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left" vertical="center" wrapText="1"/>
    </xf>
    <xf numFmtId="1" fontId="8" fillId="0" borderId="2" applyAlignment="1" pivotButton="0" quotePrefix="0" xfId="0">
      <alignment horizontal="center" vertical="center" wrapText="1"/>
    </xf>
    <xf numFmtId="3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164" fontId="16" fillId="0" borderId="2" applyAlignment="1" pivotButton="0" quotePrefix="0" xfId="0">
      <alignment horizontal="center" vertical="center" wrapText="1"/>
    </xf>
    <xf numFmtId="0" fontId="17" fillId="5" borderId="0" applyAlignment="1" pivotButton="0" quotePrefix="0" xfId="0">
      <alignment vertical="center" wrapText="1" indent="1"/>
    </xf>
  </cellXfs>
  <cellStyles count="1">
    <cellStyle name="Normal" xfId="0" builtinId="0" hidden="0"/>
  </cellStyles>
  <dxfs count="7">
    <dxf>
      <font>
        <name val="Calibri"/>
        <b val="1"/>
        <color rgb="00FFFFFF"/>
      </font>
      <fill>
        <patternFill patternType="solid">
          <fgColor rgb="002E9E5B"/>
          <bgColor rgb="002E9E5B"/>
        </patternFill>
      </fill>
    </dxf>
    <dxf>
      <font>
        <name val="Calibri"/>
        <b val="1"/>
        <color rgb="00FFFFFF"/>
      </font>
      <fill>
        <patternFill patternType="solid">
          <fgColor rgb="00C62828"/>
          <bgColor rgb="00C62828"/>
        </patternFill>
      </fill>
    </dxf>
    <dxf>
      <font>
        <name val="Calibri"/>
        <b val="1"/>
        <color rgb="001A1F26"/>
      </font>
      <fill>
        <patternFill patternType="solid">
          <fgColor rgb="00DDE1E6"/>
          <bgColor rgb="00DDE1E6"/>
        </patternFill>
      </fill>
    </dxf>
    <dxf>
      <font>
        <name val="Calibri"/>
        <b val="1"/>
        <color rgb="00C62828"/>
      </font>
      <fill>
        <patternFill patternType="solid">
          <fgColor rgb="00FDECEA"/>
          <bgColor rgb="00FDECEA"/>
        </patternFill>
      </fill>
    </dxf>
    <dxf>
      <font>
        <name val="Calibri"/>
        <b val="1"/>
        <color rgb="00FFFFFF"/>
      </font>
      <fill>
        <patternFill patternType="solid">
          <fgColor rgb="005A6472"/>
          <bgColor rgb="005A6472"/>
        </patternFill>
      </fill>
    </dxf>
    <dxf>
      <font>
        <name val="Calibri"/>
        <b val="1"/>
        <color rgb="001A1F26"/>
      </font>
      <fill>
        <patternFill patternType="solid">
          <fgColor rgb="00E0A100"/>
          <bgColor rgb="00E0A100"/>
        </patternFill>
      </fill>
    </dxf>
    <dxf>
      <font>
        <name val="Calibri"/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Protocolo Cautelar</author>
  </authors>
  <commentList>
    <comment ref="B10" authorId="0" shapeId="0">
      <text>
        <t>Substitua pelo seu nome/empresa ou apague o texto e use Inserir &gt; Imagem para colocar sua logo sobre esta área.</t>
      </text>
    </comment>
  </commentList>
</comments>
</file>

<file path=xl/comments/comment2.xml><?xml version="1.0" encoding="utf-8"?>
<comments xmlns="http://schemas.openxmlformats.org/spreadsheetml/2006/main">
  <authors>
    <author>Protocolo Cautelar</author>
  </authors>
  <commentList>
    <comment ref="D2" authorId="0" shapeId="0">
      <text>
        <t>Substitua pelo seu nome/empresa ou apague o texto e use Inserir &gt; Imagem para colocar sua logo sobre esta área.</t>
      </text>
    </comment>
  </commentList>
</comments>
</file>

<file path=xl/comments/comment3.xml><?xml version="1.0" encoding="utf-8"?>
<comments xmlns="http://schemas.openxmlformats.org/spreadsheetml/2006/main">
  <authors>
    <author>Protocolo Cautelar</author>
  </authors>
  <commentList>
    <comment ref="C2" authorId="0" shapeId="0">
      <text>
        <t>Substitua pelo seu nome/empresa ou apague o texto e use Inserir &gt; Imagem para colocar sua logo sobre esta área.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2" t="inlineStr">
        <is>
          <t>PROTOCOLO CAUTELAR</t>
        </is>
      </c>
      <c r="F2" s="1" t="n"/>
    </row>
    <row r="3">
      <c r="A3" s="1" t="n"/>
      <c r="B3" s="3" t="inlineStr">
        <is>
          <t>O sistema do vistoriador cautelar</t>
        </is>
      </c>
      <c r="F3" s="1" t="n"/>
    </row>
    <row r="4">
      <c r="A4" s="1" t="n"/>
      <c r="B4" s="1" t="n"/>
      <c r="C4" s="1" t="n"/>
      <c r="D4" s="1" t="n"/>
      <c r="E4" s="1" t="n"/>
      <c r="F4" s="1" t="n"/>
    </row>
    <row r="5" ht="26" customHeight="1">
      <c r="A5" s="1" t="n"/>
      <c r="B5" s="4" t="inlineStr">
        <is>
          <t>Comparativo: anúncio x veículo</t>
        </is>
      </c>
      <c r="F5" s="1" t="n"/>
    </row>
    <row r="6" ht="26" customHeight="1">
      <c r="A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5" customHeight="1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 ht="20" customHeight="1">
      <c r="A10" s="6" t="n"/>
      <c r="B10" s="7" t="inlineStr">
        <is>
          <t>[ SUA LOGO / SEU NOME AQUI ]</t>
        </is>
      </c>
      <c r="C10" s="8" t="n"/>
      <c r="D10" s="8" t="n"/>
      <c r="E10" s="8" t="n"/>
      <c r="F10" s="6" t="n"/>
    </row>
    <row r="11" ht="20" customHeight="1">
      <c r="A11" s="6" t="n"/>
      <c r="B11" s="8" t="n"/>
      <c r="C11" s="8" t="n"/>
      <c r="D11" s="8" t="n"/>
      <c r="E11" s="8" t="n"/>
      <c r="F11" s="6" t="n"/>
    </row>
    <row r="12" ht="20" customHeight="1">
      <c r="A12" s="6" t="n"/>
      <c r="B12" s="8" t="n"/>
      <c r="C12" s="8" t="n"/>
      <c r="D12" s="8" t="n"/>
      <c r="E12" s="8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9" t="inlineStr">
        <is>
          <t>COMO USAR</t>
        </is>
      </c>
      <c r="C14" s="6" t="n"/>
      <c r="D14" s="6" t="n"/>
      <c r="E14" s="6" t="n"/>
      <c r="F14" s="6" t="n"/>
    </row>
    <row r="15" ht="32" customHeight="1">
      <c r="A15" s="6" t="n"/>
      <c r="B15" s="10" t="inlineStr">
        <is>
          <t>1. Aba Anúncio x Veículo: transcreva o que o anúncio/vendedor afirma e, ao lado, o que foi constatado na vistoria.</t>
        </is>
      </c>
      <c r="F15" s="6" t="n"/>
    </row>
    <row r="16" ht="32" customHeight="1">
      <c r="A16" s="6" t="n"/>
      <c r="B16" s="10" t="inlineStr">
        <is>
          <t>2. Em Status escolha Confere, Diverge ou Não informado. O resumo conta as divergências automaticamente.</t>
        </is>
      </c>
      <c r="F16" s="6" t="n"/>
    </row>
    <row r="17" ht="32" customHeight="1">
      <c r="A17" s="6" t="n"/>
      <c r="B17" s="10" t="inlineStr">
        <is>
          <t>3. Aba Comparar veículos: coloque até 3 candidatos lado a lado (preço, km, ano, classificação, apontamentos e reparos estimados).</t>
        </is>
      </c>
      <c r="F17" s="6" t="n"/>
    </row>
    <row r="18" ht="32" customHeight="1">
      <c r="A18" s="6" t="n"/>
      <c r="B18" s="10" t="inlineStr">
        <is>
          <t>4. O custo total soma preço + reparos estimados. Estimativas de reparo são do comprador/oficina, não do laudo.</t>
        </is>
      </c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9" t="inlineStr">
        <is>
          <t>LEGENDA DE CORES</t>
        </is>
      </c>
      <c r="C20" s="6" t="n"/>
      <c r="D20" s="6" t="n"/>
      <c r="E20" s="6" t="n"/>
      <c r="F20" s="6" t="n"/>
    </row>
    <row r="21">
      <c r="A21" s="6" t="n"/>
      <c r="B21" s="11" t="inlineStr">
        <is>
          <t>1234,00</t>
        </is>
      </c>
      <c r="C21" s="12" t="inlineStr">
        <is>
          <t>Texto AZUL (fundo azul-claro) = ENTRADA: você digita ou escolhe na lista.</t>
        </is>
      </c>
      <c r="F21" s="6" t="n"/>
    </row>
    <row r="22">
      <c r="A22" s="6" t="n"/>
      <c r="B22" s="13">
        <f>2*617</f>
        <v/>
      </c>
      <c r="C22" s="12" t="inlineStr">
        <is>
          <t>Texto PRETO = FÓRMULA: calculado automaticamente. Não digite por cima.</t>
        </is>
      </c>
      <c r="F22" s="6" t="n"/>
    </row>
    <row r="23">
      <c r="A23" s="6" t="n"/>
      <c r="B23" s="14" t="inlineStr">
        <is>
          <t>Cabeçalho</t>
        </is>
      </c>
      <c r="C23" s="12" t="inlineStr">
        <is>
          <t>Faixa escura = títulos de colunas (não editar).</t>
        </is>
      </c>
      <c r="F23" s="6" t="n"/>
    </row>
    <row r="24">
      <c r="A24" s="6" t="n"/>
      <c r="B24" s="6" t="n"/>
      <c r="C24" s="6" t="n"/>
      <c r="D24" s="6" t="n"/>
      <c r="E24" s="6" t="n"/>
      <c r="F24" s="6" t="n"/>
    </row>
    <row r="25" ht="30" customHeight="1">
      <c r="A25" s="6" t="n"/>
      <c r="B25" s="15" t="inlineStr">
        <is>
          <t>O comparativo organiza informações; não é recomendação de compra. O laudo descreve o estado observado no momento da vistoria.</t>
        </is>
      </c>
      <c r="F25" s="6" t="n"/>
    </row>
    <row r="26">
      <c r="A26" s="6" t="n"/>
      <c r="B26" s="6" t="n"/>
      <c r="C26" s="6" t="n"/>
      <c r="D26" s="6" t="n"/>
      <c r="E26" s="6" t="n"/>
      <c r="F26" s="6" t="n"/>
    </row>
    <row r="27" ht="24" customHeight="1">
      <c r="A27" s="6" t="n"/>
      <c r="B27" s="16" t="inlineStr">
        <is>
          <t>Os valores de exemplo são fictícios. Placas de exemplo: ABC1D23 / XXX0X00. Material de apoio: não substitui norma, perícia oficial nem vistoria de transferência.</t>
        </is>
      </c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</sheetData>
  <mergeCells count="13">
    <mergeCell ref="B17:E17"/>
    <mergeCell ref="B18:E18"/>
    <mergeCell ref="B27:E27"/>
    <mergeCell ref="B10:E12"/>
    <mergeCell ref="C23:E23"/>
    <mergeCell ref="C22:E22"/>
    <mergeCell ref="B16:E16"/>
    <mergeCell ref="B15:E15"/>
    <mergeCell ref="B25:E25"/>
    <mergeCell ref="B3:E3"/>
    <mergeCell ref="B2:E2"/>
    <mergeCell ref="C21:E21"/>
    <mergeCell ref="B5:E6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5" customWidth="1" min="4" max="4"/>
    <col width="34" customWidth="1" min="5" max="5"/>
  </cols>
  <sheetData>
    <row r="1" ht="28" customHeight="1">
      <c r="A1" s="17" t="inlineStr">
        <is>
          <t>PROTOCOLO CAUTELAR  |  O QUE O ANÚNCIO DIZ x O QUE FOI CONSTATADO</t>
        </is>
      </c>
      <c r="B1" s="1" t="n"/>
      <c r="C1" s="1" t="n"/>
      <c r="D1" s="1" t="n"/>
      <c r="E1" s="1" t="n"/>
    </row>
    <row r="2">
      <c r="D2" s="7" t="inlineStr">
        <is>
          <t>[ SUA LOGO / SEU NOME AQUI ]</t>
        </is>
      </c>
      <c r="E2" s="8" t="n"/>
    </row>
    <row r="3">
      <c r="D3" s="8" t="n"/>
      <c r="E3" s="8" t="n"/>
    </row>
    <row r="4">
      <c r="A4" s="18" t="inlineStr">
        <is>
          <t>Veículo / placa</t>
        </is>
      </c>
      <c r="B4" s="11" t="inlineStr">
        <is>
          <t>Marca Modelo — ABC1D23</t>
        </is>
      </c>
    </row>
    <row r="5">
      <c r="A5" s="18" t="inlineStr">
        <is>
          <t>Link / data do anúncio</t>
        </is>
      </c>
      <c r="B5" s="11" t="inlineStr">
        <is>
          <t>(cole o link) — 01/09/2026</t>
        </is>
      </c>
    </row>
    <row r="7" ht="30" customHeight="1">
      <c r="A7" s="19" t="inlineStr">
        <is>
          <t>Afirmação</t>
        </is>
      </c>
      <c r="B7" s="19" t="inlineStr">
        <is>
          <t>O anúncio diz</t>
        </is>
      </c>
      <c r="C7" s="19" t="inlineStr">
        <is>
          <t>Constatado na vistoria</t>
        </is>
      </c>
      <c r="D7" s="19" t="inlineStr">
        <is>
          <t>Status</t>
        </is>
      </c>
      <c r="E7" s="19" t="inlineStr">
        <is>
          <t>Observação</t>
        </is>
      </c>
    </row>
    <row r="8" ht="20" customHeight="1">
      <c r="A8" s="20" t="inlineStr">
        <is>
          <t>Quilometragem</t>
        </is>
      </c>
      <c r="B8" s="21" t="inlineStr">
        <is>
          <t>45.000 km</t>
        </is>
      </c>
      <c r="C8" s="21" t="inlineStr">
        <is>
          <t>45.230 km no hodômetro</t>
        </is>
      </c>
      <c r="D8" s="22" t="inlineStr">
        <is>
          <t>Confere</t>
        </is>
      </c>
      <c r="E8" s="21" t="inlineStr">
        <is>
          <t>Coerente com desgaste observado</t>
        </is>
      </c>
    </row>
    <row r="9" ht="20" customHeight="1">
      <c r="A9" s="20" t="inlineStr">
        <is>
          <t>Ano fabricação/modelo</t>
        </is>
      </c>
      <c r="B9" s="21" t="inlineStr">
        <is>
          <t>2020/2021</t>
        </is>
      </c>
      <c r="C9" s="21" t="inlineStr">
        <is>
          <t>2020/2021 (documento)</t>
        </is>
      </c>
      <c r="D9" s="22" t="inlineStr">
        <is>
          <t>Confere</t>
        </is>
      </c>
      <c r="E9" s="21" t="n"/>
    </row>
    <row r="10" ht="20" customHeight="1">
      <c r="A10" s="20" t="inlineStr">
        <is>
          <t>Único dono</t>
        </is>
      </c>
      <c r="B10" s="21" t="inlineStr">
        <is>
          <t>Sim</t>
        </is>
      </c>
      <c r="C10" s="21" t="inlineStr">
        <is>
          <t>Não comprovado</t>
        </is>
      </c>
      <c r="D10" s="22" t="inlineStr">
        <is>
          <t>Não informado</t>
        </is>
      </c>
      <c r="E10" s="21" t="inlineStr">
        <is>
          <t>Pedir histórico/documentos</t>
        </is>
      </c>
    </row>
    <row r="11" ht="20" customHeight="1">
      <c r="A11" s="20" t="inlineStr">
        <is>
          <t>Sem batidas / sem retoques</t>
        </is>
      </c>
      <c r="B11" s="21" t="inlineStr">
        <is>
          <t>Nunca bateu</t>
        </is>
      </c>
      <c r="C11" s="21" t="inlineStr">
        <is>
          <t>Porta traseira direita repintada (N2)</t>
        </is>
      </c>
      <c r="D11" s="22" t="inlineStr">
        <is>
          <t>Diverge</t>
        </is>
      </c>
      <c r="E11" s="21" t="inlineStr">
        <is>
          <t>Ver Mapa de Pintura</t>
        </is>
      </c>
    </row>
    <row r="12" ht="20" customHeight="1">
      <c r="A12" s="20" t="inlineStr">
        <is>
          <t>Revisões em concessionária</t>
        </is>
      </c>
      <c r="B12" s="21" t="inlineStr">
        <is>
          <t>Todas feitas</t>
        </is>
      </c>
      <c r="C12" s="21" t="inlineStr">
        <is>
          <t>Manual com 2 de 4 carimbos</t>
        </is>
      </c>
      <c r="D12" s="22" t="inlineStr">
        <is>
          <t>Diverge</t>
        </is>
      </c>
      <c r="E12" s="21" t="n"/>
    </row>
    <row r="13" ht="20" customHeight="1">
      <c r="A13" s="20" t="inlineStr">
        <is>
          <t>Pneus</t>
        </is>
      </c>
      <c r="B13" s="21" t="inlineStr">
        <is>
          <t>Novos</t>
        </is>
      </c>
      <c r="C13" s="21" t="inlineStr">
        <is>
          <t>~60% de vida, mesma marca</t>
        </is>
      </c>
      <c r="D13" s="22" t="inlineStr">
        <is>
          <t>Diverge</t>
        </is>
      </c>
      <c r="E13" s="21" t="inlineStr">
        <is>
          <t>N1</t>
        </is>
      </c>
    </row>
    <row r="14" ht="20" customHeight="1">
      <c r="A14" s="20" t="inlineStr">
        <is>
          <t>Laudo / vistoria anterior</t>
        </is>
      </c>
      <c r="B14" s="21" t="inlineStr">
        <is>
          <t>Laudo aprovado</t>
        </is>
      </c>
      <c r="C14" s="21" t="n"/>
      <c r="D14" s="22" t="inlineStr">
        <is>
          <t>Não informado</t>
        </is>
      </c>
      <c r="E14" s="21" t="inlineStr">
        <is>
          <t>Solicitar cópia</t>
        </is>
      </c>
    </row>
    <row r="15" ht="20" customHeight="1">
      <c r="A15" s="20" t="inlineStr">
        <is>
          <t>Chave reserva e manual</t>
        </is>
      </c>
      <c r="B15" s="21" t="n"/>
      <c r="C15" s="21" t="n"/>
      <c r="D15" s="22" t="n"/>
      <c r="E15" s="21" t="n"/>
    </row>
    <row r="16" ht="20" customHeight="1">
      <c r="A16" s="20" t="inlineStr">
        <is>
          <t>Documentação / débitos</t>
        </is>
      </c>
      <c r="B16" s="21" t="n"/>
      <c r="C16" s="21" t="n"/>
      <c r="D16" s="22" t="n"/>
      <c r="E16" s="21" t="n"/>
    </row>
    <row r="17" ht="20" customHeight="1">
      <c r="A17" s="20" t="inlineStr">
        <is>
          <t>Outros</t>
        </is>
      </c>
      <c r="B17" s="21" t="n"/>
      <c r="C17" s="21" t="n"/>
      <c r="D17" s="22" t="n"/>
      <c r="E17" s="21" t="n"/>
    </row>
    <row r="18" ht="20" customHeight="1">
      <c r="A18" s="21" t="n"/>
      <c r="B18" s="21" t="n"/>
      <c r="C18" s="21" t="n"/>
      <c r="D18" s="22" t="n"/>
      <c r="E18" s="21" t="n"/>
    </row>
    <row r="19" ht="20" customHeight="1">
      <c r="A19" s="21" t="n"/>
      <c r="B19" s="21" t="n"/>
      <c r="C19" s="21" t="n"/>
      <c r="D19" s="22" t="n"/>
      <c r="E19" s="21" t="n"/>
    </row>
    <row r="21" ht="22" customHeight="1">
      <c r="A21" s="19" t="inlineStr">
        <is>
          <t>Resumo</t>
        </is>
      </c>
      <c r="B21" s="19" t="inlineStr">
        <is>
          <t>Qtde</t>
        </is>
      </c>
    </row>
    <row r="22">
      <c r="A22" s="23" t="inlineStr">
        <is>
          <t>Confere</t>
        </is>
      </c>
      <c r="B22" s="24">
        <f>COUNTIF($D$8:$D$19,"Confere")</f>
        <v/>
      </c>
    </row>
    <row r="23">
      <c r="A23" s="23" t="inlineStr">
        <is>
          <t>Diverge</t>
        </is>
      </c>
      <c r="B23" s="24">
        <f>COUNTIF($D$8:$D$19,"Diverge")</f>
        <v/>
      </c>
    </row>
    <row r="24">
      <c r="A24" s="23" t="inlineStr">
        <is>
          <t>Não informado</t>
        </is>
      </c>
      <c r="B24" s="24">
        <f>COUNTIF($D$8:$D$19,"Não informado")</f>
        <v/>
      </c>
    </row>
    <row r="25">
      <c r="A25" s="23" t="inlineStr">
        <is>
          <t>Itens avaliados</t>
        </is>
      </c>
      <c r="B25" s="24">
        <f>SUM(B22:B24)</f>
        <v/>
      </c>
    </row>
    <row r="26" ht="30" customHeight="1">
      <c r="A26" s="18" t="inlineStr">
        <is>
          <t>Conclusão do comparativo</t>
        </is>
      </c>
      <c r="B26" s="25">
        <f>IF(B25=0,"Preencha o status dos itens.",IF(B23&gt;0,B23&amp;" divergência(s) entre anúncio e veículo — renegocie ou peça esclarecimento por escrito.",IF(B24&gt;0,"Sem divergências; "&amp;B24&amp;" item(ns) não informado(s).","Tudo o que foi anunciado confere com o constatado.")))</f>
        <v/>
      </c>
    </row>
  </sheetData>
  <mergeCells count="5">
    <mergeCell ref="B26:E26"/>
    <mergeCell ref="D2:E3"/>
    <mergeCell ref="B5:C5"/>
    <mergeCell ref="A1:E1"/>
    <mergeCell ref="B4:C4"/>
  </mergeCells>
  <conditionalFormatting sqref="D8:D19">
    <cfRule type="cellIs" priority="1" operator="equal" dxfId="0">
      <formula>"Confere"</formula>
    </cfRule>
    <cfRule type="cellIs" priority="2" operator="equal" dxfId="1">
      <formula>"Diverge"</formula>
    </cfRule>
    <cfRule type="cellIs" priority="3" operator="equal" dxfId="2">
      <formula>"Não informado"</formula>
    </cfRule>
  </conditionalFormatting>
  <conditionalFormatting sqref="B26">
    <cfRule type="expression" priority="4" dxfId="3">
      <formula>$B$23&gt;0</formula>
    </cfRule>
  </conditionalFormatting>
  <dataValidations count="1">
    <dataValidation sqref="D8:D19" showDropDown="0" showInputMessage="0" showErrorMessage="1" allowBlank="1" errorTitle="Valor inválido" error="Escolha um valor da lista." type="list">
      <formula1>"Confere,Diverge,Não informado"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7" t="inlineStr">
        <is>
          <t>PROTOCOLO CAUTELAR  |  COMPARAÇÃO LADO A LADO (ATÉ 3 VEÍCULOS)</t>
        </is>
      </c>
      <c r="B1" s="1" t="n"/>
      <c r="C1" s="1" t="n"/>
      <c r="D1" s="1" t="n"/>
    </row>
    <row r="2">
      <c r="C2" s="7" t="inlineStr">
        <is>
          <t>[ SUA LOGO / SEU NOME AQUI ]</t>
        </is>
      </c>
      <c r="D2" s="8" t="n"/>
    </row>
    <row r="3">
      <c r="C3" s="8" t="n"/>
      <c r="D3" s="8" t="n"/>
    </row>
    <row r="4" ht="30" customHeight="1">
      <c r="A4" s="19" t="inlineStr">
        <is>
          <t>Critério</t>
        </is>
      </c>
      <c r="B4" s="19" t="inlineStr">
        <is>
          <t>Veículo A</t>
        </is>
      </c>
      <c r="C4" s="19" t="inlineStr">
        <is>
          <t>Veículo B</t>
        </is>
      </c>
      <c r="D4" s="19" t="inlineStr">
        <is>
          <t>Veículo C</t>
        </is>
      </c>
    </row>
    <row r="5">
      <c r="A5" s="23" t="inlineStr">
        <is>
          <t>Descrição (marca/modelo/versão)</t>
        </is>
      </c>
      <c r="B5" s="22" t="inlineStr">
        <is>
          <t>Modelo X 1.0</t>
        </is>
      </c>
      <c r="C5" s="22" t="inlineStr">
        <is>
          <t>Modelo Y 1.3</t>
        </is>
      </c>
      <c r="D5" s="22" t="inlineStr">
        <is>
          <t>Modelo Z 1.0</t>
        </is>
      </c>
    </row>
    <row r="6">
      <c r="A6" s="23" t="inlineStr">
        <is>
          <t>Placa (parcial)</t>
        </is>
      </c>
      <c r="B6" s="22" t="inlineStr">
        <is>
          <t>ABC1D23</t>
        </is>
      </c>
      <c r="C6" s="22" t="inlineStr">
        <is>
          <t>XXX0X00</t>
        </is>
      </c>
      <c r="D6" s="22" t="inlineStr">
        <is>
          <t>ABC1D23</t>
        </is>
      </c>
    </row>
    <row r="7">
      <c r="A7" s="23" t="inlineStr">
        <is>
          <t>Preço pedido (R$)</t>
        </is>
      </c>
      <c r="B7" s="26" t="n">
        <v>62000</v>
      </c>
      <c r="C7" s="26" t="n">
        <v>58500</v>
      </c>
      <c r="D7" s="26" t="n">
        <v>60900</v>
      </c>
    </row>
    <row r="8">
      <c r="A8" s="23" t="inlineStr">
        <is>
          <t>Quilometragem (km)</t>
        </is>
      </c>
      <c r="B8" s="27" t="n">
        <v>45230</v>
      </c>
      <c r="C8" s="27" t="n">
        <v>88000</v>
      </c>
      <c r="D8" s="27" t="n">
        <v>61000</v>
      </c>
    </row>
    <row r="9">
      <c r="A9" s="23" t="inlineStr">
        <is>
          <t>Ano modelo</t>
        </is>
      </c>
      <c r="B9" s="28" t="n">
        <v>2021</v>
      </c>
      <c r="C9" s="28" t="n">
        <v>2019</v>
      </c>
      <c r="D9" s="28" t="n">
        <v>2020</v>
      </c>
    </row>
    <row r="10">
      <c r="A10" s="23" t="inlineStr">
        <is>
          <t>Classificação do laudo</t>
        </is>
      </c>
      <c r="B10" s="22" t="inlineStr">
        <is>
          <t>APROVADO COM APONTAMENTOS</t>
        </is>
      </c>
      <c r="C10" s="22" t="inlineStr">
        <is>
          <t>REPROVADO</t>
        </is>
      </c>
      <c r="D10" s="22" t="inlineStr">
        <is>
          <t>APROVADO</t>
        </is>
      </c>
    </row>
    <row r="11">
      <c r="A11" s="23" t="inlineStr">
        <is>
          <t>Nº apontamentos N2</t>
        </is>
      </c>
      <c r="B11" s="28" t="n">
        <v>1</v>
      </c>
      <c r="C11" s="28" t="n">
        <v>3</v>
      </c>
      <c r="D11" s="28" t="n">
        <v>0</v>
      </c>
    </row>
    <row r="12">
      <c r="A12" s="23" t="inlineStr">
        <is>
          <t>Nº apontamentos N3</t>
        </is>
      </c>
      <c r="B12" s="28" t="n">
        <v>0</v>
      </c>
      <c r="C12" s="28" t="n">
        <v>1</v>
      </c>
      <c r="D12" s="28" t="n">
        <v>0</v>
      </c>
    </row>
    <row r="13">
      <c r="A13" s="23" t="inlineStr">
        <is>
          <t>Nº apontamentos N4</t>
        </is>
      </c>
      <c r="B13" s="28" t="n">
        <v>0</v>
      </c>
      <c r="C13" s="28" t="n">
        <v>1</v>
      </c>
      <c r="D13" s="28" t="n">
        <v>0</v>
      </c>
    </row>
    <row r="14">
      <c r="A14" s="23" t="inlineStr">
        <is>
          <t>Custo estimado de reparos (R$)</t>
        </is>
      </c>
      <c r="B14" s="26" t="n">
        <v>800</v>
      </c>
      <c r="C14" s="26" t="n">
        <v>6500</v>
      </c>
      <c r="D14" s="26" t="n">
        <v>300</v>
      </c>
    </row>
    <row r="15">
      <c r="A15" s="29" t="inlineStr">
        <is>
          <t>CUSTO TOTAL (preço + reparos)</t>
        </is>
      </c>
      <c r="B15" s="30">
        <f>IF(B7="","",B7+N(B14))</f>
        <v/>
      </c>
      <c r="C15" s="30">
        <f>IF(C7="","",C7+N(C14))</f>
        <v/>
      </c>
      <c r="D15" s="30">
        <f>IF(D7="","",D7+N(D14))</f>
        <v/>
      </c>
    </row>
    <row r="16">
      <c r="A16" s="31" t="inlineStr">
        <is>
          <t>Total de apontamentos (N2+N3+N4)</t>
        </is>
      </c>
      <c r="B16" s="32">
        <f>IF(B7="","",N(B11)+N(B12)+N(B13))</f>
        <v/>
      </c>
      <c r="C16" s="32">
        <f>IF(C7="","",N(C11)+N(C12)+N(C13))</f>
        <v/>
      </c>
      <c r="D16" s="32">
        <f>IF(D7="","",N(D11)+N(D12)+N(D13))</f>
        <v/>
      </c>
    </row>
    <row r="17">
      <c r="A17" s="31" t="inlineStr">
        <is>
          <t>Km por ano de uso (aprox.)</t>
        </is>
      </c>
      <c r="B17" s="33">
        <f>IF(OR(B8="",B9=""),"",B8/MAX(1,$B$20-B9+1))</f>
        <v/>
      </c>
      <c r="C17" s="33">
        <f>IF(OR(C8="",C9=""),"",C8/MAX(1,$B$20-C9+1))</f>
        <v/>
      </c>
      <c r="D17" s="33">
        <f>IF(OR(D8="",D9=""),"",D8/MAX(1,$B$20-D9+1))</f>
        <v/>
      </c>
    </row>
    <row r="18">
      <c r="A18" s="31" t="inlineStr">
        <is>
          <t>Alerta</t>
        </is>
      </c>
      <c r="B18" s="34">
        <f>IF(B7="","",IF(OR(B10="REPROVADO",N(B13)&gt;0),"Crítico no laudo (N4)",IF(B10="INCONCLUSIVO","Laudo inconclusivo",IF(N(B12)&gt;0,"Atenção: N3","—"))))</f>
        <v/>
      </c>
      <c r="C18" s="34">
        <f>IF(C7="","",IF(OR(C10="REPROVADO",N(C13)&gt;0),"Crítico no laudo (N4)",IF(C10="INCONCLUSIVO","Laudo inconclusivo",IF(N(C12)&gt;0,"Atenção: N3","—"))))</f>
        <v/>
      </c>
      <c r="D18" s="34">
        <f>IF(D7="","",IF(OR(D10="REPROVADO",N(D13)&gt;0),"Crítico no laudo (N4)",IF(D10="INCONCLUSIVO","Laudo inconclusivo",IF(N(D12)&gt;0,"Atenção: N3","—"))))</f>
        <v/>
      </c>
    </row>
    <row r="20">
      <c r="A20" s="18" t="inlineStr">
        <is>
          <t>Ano de referência (para km/ano)</t>
        </is>
      </c>
      <c r="B20" s="28" t="n">
        <v>2026</v>
      </c>
    </row>
    <row r="21">
      <c r="A21" s="18" t="inlineStr">
        <is>
          <t>Menor custo total</t>
        </is>
      </c>
      <c r="B21" s="25">
        <f>IF(COUNT(B15:D15)=0,"",INDEX($B$4:$D$4,MATCH(MIN(B15:D15),B15:D15,0))&amp;" — R$ "&amp;FIXED(MIN(B15:D15),2))</f>
        <v/>
      </c>
    </row>
    <row r="22">
      <c r="A22" s="18" t="inlineStr">
        <is>
          <t>Menor custo total SEM N4 / reprovação</t>
        </is>
      </c>
      <c r="B22" s="25">
        <f>IF(COUNT(B25:D25)=0,"Nenhum candidato sem N4/reprovação/inconclusivo",INDEX($B$4:$D$4,MATCH(MIN(B25:D25),B25:D25,0))&amp;" — R$ "&amp;FIXED(MIN(B25:D25),2))</f>
        <v/>
      </c>
    </row>
    <row r="25">
      <c r="A25" s="35" t="inlineStr">
        <is>
          <t>(auxiliar: custo elegível)</t>
        </is>
      </c>
      <c r="B25" s="36">
        <f>IF(AND(ISNUMBER(B15),N(B13)=0,B10&lt;&gt;"REPROVADO",B10&lt;&gt;"INCONCLUSIVO"),B15,"")</f>
        <v/>
      </c>
      <c r="C25" s="36">
        <f>IF(AND(ISNUMBER(C15),N(C13)=0,C10&lt;&gt;"REPROVADO",C10&lt;&gt;"INCONCLUSIVO"),C15,"")</f>
        <v/>
      </c>
      <c r="D25" s="36">
        <f>IF(AND(ISNUMBER(D15),N(D13)=0,D10&lt;&gt;"REPROVADO",D10&lt;&gt;"INCONCLUSIVO"),D15,"")</f>
        <v/>
      </c>
    </row>
    <row r="27" ht="26" customHeight="1">
      <c r="A27" s="37" t="inlineStr">
        <is>
          <t>Custo de reparo é estimativa do comprador ou de oficina de confiança, não do laudo. O menor custo total não é, sozinho, a melhor escolha: pese a classificação, os itens N3/N4 e o histórico. Comparativo informativo, não é recomendação de compra.</t>
        </is>
      </c>
    </row>
    <row r="28" ht="26" customHeight="1"/>
  </sheetData>
  <mergeCells count="5">
    <mergeCell ref="A1:D1"/>
    <mergeCell ref="A27:D28"/>
    <mergeCell ref="C2:D3"/>
    <mergeCell ref="B22:D22"/>
    <mergeCell ref="B21:D21"/>
  </mergeCells>
  <conditionalFormatting sqref="B10:D10">
    <cfRule type="cellIs" priority="1" operator="equal" dxfId="1">
      <formula>"REPROVADO"</formula>
    </cfRule>
    <cfRule type="cellIs" priority="2" operator="equal" dxfId="4">
      <formula>"INCONCLUSIVO"</formula>
    </cfRule>
    <cfRule type="cellIs" priority="3" operator="equal" dxfId="5">
      <formula>"APROVADO COM APONTAMENTOS"</formula>
    </cfRule>
    <cfRule type="cellIs" priority="4" operator="equal" dxfId="0">
      <formula>"APROVADO"</formula>
    </cfRule>
  </conditionalFormatting>
  <conditionalFormatting sqref="B18:D18">
    <cfRule type="expression" priority="5" dxfId="6">
      <formula>LEFT(B18,7)="Crítico"</formula>
    </cfRule>
  </conditionalFormatting>
  <dataValidations count="1">
    <dataValidation sqref="B10:D10" showDropDown="0" showInputMessage="0" showErrorMessage="1" allowBlank="1" errorTitle="Valor inválido" error="Escolha um valor da lista." type="list">
      <formula1>"APROVADO,APROVADO COM APONTAMENTOS,REPROVADO,INCONCLUSIVO,Sem laudo"</formula1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2026-09-30T19:39:29Z</dcterms:created>
  <dcterms:modified xmlns:dcterms="http://purl.org/dc/terms/" xmlns:xsi="http://www.w3.org/2001/XMLSchema-instance" xsi:type="dcterms:W3CDTF">2026-09-30T19:39:29Z</dcterms:modified>
</cp:coreProperties>
</file>