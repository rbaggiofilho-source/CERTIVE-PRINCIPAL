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Mapa" sheetId="2" state="visible" r:id="rId2"/>
  </sheets>
  <definedNames>
    <definedName name="_xlnm.Print_Area" localSheetId="0">'Capa'!$A$1:$F$30</definedName>
    <definedName name="_xlnm.Print_Titles" localSheetId="1">'Mapa'!$9:$9</definedName>
    <definedName name="_xlnm.Print_Area" localSheetId="1">'Mapa'!$A$1:$L$38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2A900"/>
      <sz val="24"/>
    </font>
    <font>
      <name val="Calibri"/>
      <i val="1"/>
      <color rgb="00C9CED6"/>
      <sz val="10"/>
    </font>
    <font>
      <name val="Calibri"/>
      <b val="1"/>
      <color rgb="00FFFFFF"/>
      <sz val="18"/>
    </font>
    <font>
      <name val="Calibri"/>
      <b val="1"/>
      <color rgb="000000FF"/>
      <sz val="11"/>
    </font>
    <font>
      <name val="Calibri"/>
      <b val="1"/>
      <color rgb="00B87F00"/>
      <sz val="12"/>
    </font>
    <font>
      <name val="Calibri"/>
      <color rgb="001A1F26"/>
      <sz val="11"/>
    </font>
    <font>
      <name val="Calibri"/>
      <color rgb="000000FF"/>
      <sz val="11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i val="1"/>
      <color rgb="004E5864"/>
      <sz val="9"/>
    </font>
    <font>
      <name val="Calibri"/>
      <i val="1"/>
      <color rgb="007A8591"/>
      <sz val="8"/>
    </font>
    <font>
      <name val="Calibri"/>
      <b val="1"/>
      <color rgb="00F2A900"/>
      <sz val="14"/>
    </font>
    <font>
      <name val="Calibri"/>
      <b val="1"/>
      <color rgb="004E5864"/>
      <sz val="10"/>
    </font>
    <font>
      <name val="Calibri"/>
      <b val="1"/>
      <color rgb="001A1F26"/>
      <sz val="10"/>
    </font>
    <font>
      <name val="Calibri"/>
      <b val="1"/>
      <color rgb="00000000"/>
      <sz val="11"/>
    </font>
    <font>
      <name val="Calibri"/>
      <color rgb="004E5864"/>
      <sz val="10"/>
    </font>
    <font>
      <name val="Calibri"/>
      <i val="1"/>
      <color rgb="001A1F26"/>
      <sz val="9"/>
    </font>
  </fonts>
  <fills count="9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0F1318"/>
        <bgColor rgb="000F1318"/>
      </patternFill>
    </fill>
    <fill>
      <patternFill patternType="solid">
        <fgColor rgb="00F2A900"/>
        <bgColor rgb="00F2A900"/>
      </patternFill>
    </fill>
    <fill>
      <patternFill patternType="solid">
        <fgColor rgb="00FFF4D6"/>
        <bgColor rgb="00FFF4D6"/>
      </patternFill>
    </fill>
    <fill>
      <patternFill patternType="solid">
        <fgColor rgb="00EEF3FF"/>
        <bgColor rgb="00EEF3FF"/>
      </patternFill>
    </fill>
    <fill>
      <patternFill patternType="solid">
        <fgColor rgb="00F5F6F8"/>
        <bgColor rgb="00F5F6F8"/>
      </patternFill>
    </fill>
    <fill>
      <patternFill patternType="solid">
        <fgColor rgb="00E6E8EB"/>
        <bgColor rgb="00E6E8EB"/>
      </patternFill>
    </fill>
  </fills>
  <borders count="7">
    <border>
      <left/>
      <right/>
      <top/>
      <bottom/>
      <diagonal/>
    </border>
    <border>
      <left style="dashed">
        <color rgb="00B87F00"/>
      </left>
      <right style="dashed">
        <color rgb="00B87F00"/>
      </right>
      <top style="dashed">
        <color rgb="00B87F00"/>
      </top>
      <bottom style="dashed">
        <color rgb="00B87F00"/>
      </bottom>
    </border>
    <border>
      <left style="thin">
        <color rgb="00DDE1E6"/>
      </left>
      <right style="thin">
        <color rgb="00DDE1E6"/>
      </right>
      <top style="thin">
        <color rgb="00DDE1E6"/>
      </top>
      <bottom style="thin">
        <color rgb="00DDE1E6"/>
      </bottom>
    </border>
    <border>
      <left/>
      <right/>
      <top style="thin">
        <color rgb="00DDE1E6"/>
      </top>
      <bottom/>
      <diagonal/>
    </border>
    <border>
      <left/>
      <right style="thin">
        <color rgb="00DDE1E6"/>
      </right>
      <top style="thin">
        <color rgb="00DDE1E6"/>
      </top>
      <bottom/>
      <diagonal/>
    </border>
    <border>
      <left/>
      <right style="thin">
        <color rgb="00DDE1E6"/>
      </right>
      <top style="thin">
        <color rgb="00DDE1E6"/>
      </top>
      <bottom style="thin">
        <color rgb="00DDE1E6"/>
      </bottom>
      <diagonal/>
    </border>
    <border>
      <left/>
      <right/>
      <top style="thin">
        <color rgb="00DDE1E6"/>
      </top>
      <bottom style="thin">
        <color rgb="00DDE1E6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2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2" borderId="0" pivotButton="0" quotePrefix="0" xfId="0"/>
    <xf numFmtId="0" fontId="6" fillId="2" borderId="0" applyAlignment="1" pivotButton="0" quotePrefix="0" xfId="0">
      <alignment vertical="top" wrapText="1"/>
    </xf>
    <xf numFmtId="0" fontId="7" fillId="6" borderId="2" pivotButton="0" quotePrefix="0" xfId="0"/>
    <xf numFmtId="0" fontId="6" fillId="2" borderId="0" pivotButton="0" quotePrefix="0" xfId="0"/>
    <xf numFmtId="4" fontId="8" fillId="2" borderId="2" pivotButton="0" quotePrefix="0" xfId="0"/>
    <xf numFmtId="0" fontId="9" fillId="3" borderId="2" pivotButton="0" quotePrefix="0" xfId="0"/>
    <xf numFmtId="0" fontId="10" fillId="2" borderId="0" applyAlignment="1" pivotButton="0" quotePrefix="0" xfId="0">
      <alignment vertical="top" wrapText="1"/>
    </xf>
    <xf numFmtId="0" fontId="11" fillId="2" borderId="0" applyAlignment="1" pivotButton="0" quotePrefix="0" xfId="0">
      <alignment wrapText="1"/>
    </xf>
    <xf numFmtId="0" fontId="12" fillId="3" borderId="0" applyAlignment="1" pivotButton="0" quotePrefix="0" xfId="0">
      <alignment horizontal="left" vertical="center" indent="1"/>
    </xf>
    <xf numFmtId="0" fontId="10" fillId="0" borderId="0" pivotButton="0" quotePrefix="0" xfId="0"/>
    <xf numFmtId="0" fontId="13" fillId="7" borderId="2" applyAlignment="1" pivotButton="0" quotePrefix="0" xfId="0">
      <alignment horizontal="left" vertical="center" wrapText="1"/>
    </xf>
    <xf numFmtId="0" fontId="0" fillId="0" borderId="5" pivotButton="0" quotePrefix="0" xfId="0"/>
    <xf numFmtId="1" fontId="8" fillId="0" borderId="2" applyAlignment="1" pivotButton="0" quotePrefix="0" xfId="0">
      <alignment horizontal="center" vertical="center" wrapText="1"/>
    </xf>
    <xf numFmtId="0" fontId="0" fillId="0" borderId="6" pivotButton="0" quotePrefix="0" xfId="0"/>
    <xf numFmtId="2" fontId="7" fillId="6" borderId="2" pivotButton="0" quotePrefix="0" xfId="0"/>
    <xf numFmtId="1" fontId="7" fillId="6" borderId="2" applyAlignment="1" pivotButton="0" quotePrefix="0" xfId="0">
      <alignment horizontal="center" vertical="center" wrapText="1"/>
    </xf>
    <xf numFmtId="1" fontId="15" fillId="5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14" fillId="0" borderId="2" pivotButton="0" quotePrefix="0" xfId="0"/>
    <xf numFmtId="0" fontId="7" fillId="6" borderId="2" applyAlignment="1" pivotButton="0" quotePrefix="0" xfId="0">
      <alignment horizontal="center" vertical="center" wrapText="1"/>
    </xf>
    <xf numFmtId="2" fontId="8" fillId="0" borderId="2" applyAlignment="1" pivotButton="0" quotePrefix="0" xfId="0">
      <alignment horizontal="center" vertical="center" wrapText="1"/>
    </xf>
    <xf numFmtId="1" fontId="7" fillId="8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center" vertical="center" wrapText="1"/>
    </xf>
    <xf numFmtId="0" fontId="17" fillId="5" borderId="0" applyAlignment="1" pivotButton="0" quotePrefix="0" xfId="0">
      <alignment vertical="center" wrapText="1" indent="1"/>
    </xf>
  </cellXfs>
  <cellStyles count="1">
    <cellStyle name="Normal" xfId="0" builtinId="0" hidden="0"/>
  </cellStyles>
  <dxfs count="6">
    <dxf>
      <font>
        <name val="Calibri"/>
        <b val="1"/>
        <color rgb="00FFFFFF"/>
      </font>
      <fill>
        <patternFill patternType="solid">
          <fgColor rgb="002E9E5B"/>
          <bgColor rgb="002E9E5B"/>
        </patternFill>
      </fill>
    </dxf>
    <dxf>
      <font>
        <name val="Calibri"/>
        <b val="1"/>
        <color rgb="00FFFFFF"/>
      </font>
      <fill>
        <patternFill patternType="solid">
          <fgColor rgb="00C62828"/>
          <bgColor rgb="00C62828"/>
        </patternFill>
      </fill>
    </dxf>
    <dxf>
      <font>
        <name val="Calibri"/>
        <b val="1"/>
        <color rgb="001A1F26"/>
      </font>
      <fill>
        <patternFill patternType="solid">
          <fgColor rgb="00E0A100"/>
          <bgColor rgb="00E0A100"/>
        </patternFill>
      </fill>
    </dxf>
    <dxf>
      <font>
        <name val="Calibri"/>
        <b val="1"/>
        <color rgb="004E5864"/>
      </font>
      <fill>
        <patternFill patternType="solid">
          <fgColor rgb="00DDE1E6"/>
          <bgColor rgb="00DDE1E6"/>
        </patternFill>
      </fill>
    </dxf>
    <dxf>
      <font>
        <name val="Calibri"/>
        <b val="1"/>
        <color rgb="00C62828"/>
      </font>
    </dxf>
    <dxf>
      <font>
        <name val="Calibri"/>
        <b val="1"/>
        <color rgb="00B87F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Protocolo Cautelar</author>
  </authors>
  <commentList>
    <comment ref="B10" authorId="0" shapeId="0">
      <text>
        <t>Substitua pelo seu nome/empresa ou apague o texto e use Inserir &gt; Imagem para colocar sua logo sobre esta área.</t>
      </text>
    </comment>
  </commentList>
</comments>
</file>

<file path=xl/comments/comment2.xml><?xml version="1.0" encoding="utf-8"?>
<comments xmlns="http://schemas.openxmlformats.org/spreadsheetml/2006/main">
  <authors>
    <author>Protocolo Cautelar</author>
  </authors>
  <commentList>
    <comment ref="K2" authorId="0" shapeId="0">
      <text>
        <t>Substitua pelo seu nome/empresa ou apague o texto e use Inserir &gt; Imagem para colocar sua logo sobre esta área.</t>
      </text>
    </comment>
    <comment ref="B6" authorId="0" shapeId="0">
      <text>
        <t>Deixe em branco para usar a mediana automática. Digite o valor de fábrica conhecido para sobrescrever.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 ht="36" customHeight="1">
      <c r="A2" s="1" t="n"/>
      <c r="B2" s="2" t="inlineStr">
        <is>
          <t>PROTOCOLO CAUTELAR</t>
        </is>
      </c>
      <c r="F2" s="1" t="n"/>
    </row>
    <row r="3">
      <c r="A3" s="1" t="n"/>
      <c r="B3" s="3" t="inlineStr">
        <is>
          <t>O sistema do vistoriador cautelar</t>
        </is>
      </c>
      <c r="F3" s="1" t="n"/>
    </row>
    <row r="4">
      <c r="A4" s="1" t="n"/>
      <c r="B4" s="1" t="n"/>
      <c r="C4" s="1" t="n"/>
      <c r="D4" s="1" t="n"/>
      <c r="E4" s="1" t="n"/>
      <c r="F4" s="1" t="n"/>
    </row>
    <row r="5" ht="26" customHeight="1">
      <c r="A5" s="1" t="n"/>
      <c r="B5" s="4" t="inlineStr">
        <is>
          <t>Mapa de Pintura (espessura de película)</t>
        </is>
      </c>
      <c r="F5" s="1" t="n"/>
    </row>
    <row r="6" ht="26" customHeight="1">
      <c r="A6" s="1" t="n"/>
      <c r="F6" s="1" t="n"/>
    </row>
    <row r="7">
      <c r="A7" s="1" t="n"/>
      <c r="B7" s="1" t="n"/>
      <c r="C7" s="1" t="n"/>
      <c r="D7" s="1" t="n"/>
      <c r="E7" s="1" t="n"/>
      <c r="F7" s="1" t="n"/>
    </row>
    <row r="8" ht="5" customHeight="1">
      <c r="A8" s="5" t="n"/>
      <c r="B8" s="5" t="n"/>
      <c r="C8" s="5" t="n"/>
      <c r="D8" s="5" t="n"/>
      <c r="E8" s="5" t="n"/>
      <c r="F8" s="5" t="n"/>
    </row>
    <row r="9">
      <c r="A9" s="6" t="n"/>
      <c r="B9" s="6" t="n"/>
      <c r="C9" s="6" t="n"/>
      <c r="D9" s="6" t="n"/>
      <c r="E9" s="6" t="n"/>
      <c r="F9" s="6" t="n"/>
    </row>
    <row r="10" ht="20" customHeight="1">
      <c r="A10" s="6" t="n"/>
      <c r="B10" s="7" t="inlineStr">
        <is>
          <t>[ SUA LOGO / SEU NOME AQUI ]</t>
        </is>
      </c>
      <c r="C10" s="8" t="n"/>
      <c r="D10" s="8" t="n"/>
      <c r="E10" s="8" t="n"/>
      <c r="F10" s="6" t="n"/>
    </row>
    <row r="11" ht="20" customHeight="1">
      <c r="A11" s="6" t="n"/>
      <c r="B11" s="8" t="n"/>
      <c r="C11" s="8" t="n"/>
      <c r="D11" s="8" t="n"/>
      <c r="E11" s="8" t="n"/>
      <c r="F11" s="6" t="n"/>
    </row>
    <row r="12" ht="20" customHeight="1">
      <c r="A12" s="6" t="n"/>
      <c r="B12" s="8" t="n"/>
      <c r="C12" s="8" t="n"/>
      <c r="D12" s="8" t="n"/>
      <c r="E12" s="8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9" t="inlineStr">
        <is>
          <t>COMO USAR</t>
        </is>
      </c>
      <c r="C14" s="6" t="n"/>
      <c r="D14" s="6" t="n"/>
      <c r="E14" s="6" t="n"/>
      <c r="F14" s="6" t="n"/>
    </row>
    <row r="15" ht="32" customHeight="1">
      <c r="A15" s="6" t="n"/>
      <c r="B15" s="10" t="inlineStr">
        <is>
          <t>1. Na aba Mapa, confira o material de cada peça (Aço / Alumínio / Plástico) e digite até 5 leituras por peça, em micrômetros (µm).</t>
        </is>
      </c>
      <c r="F15" s="6" t="n"/>
    </row>
    <row r="16" ht="46" customHeight="1">
      <c r="A16" s="6" t="n"/>
      <c r="B16" s="10" t="inlineStr">
        <is>
          <t>2. A referência é a mediana automática das médias das peças metálicas medidas. Se você conhece o valor do fabricante, digite-o em 'Referência manual' — ele sobrescreve a mediana.</t>
        </is>
      </c>
      <c r="F16" s="6" t="n"/>
    </row>
    <row r="17" ht="32" customHeight="1">
      <c r="A17" s="6" t="n"/>
      <c r="B17" s="10" t="inlineStr">
        <is>
          <t>3. Razão = média da peça ÷ referência. O status e a cor mudam sozinhos conforme os limites da aba (editáveis).</t>
        </is>
      </c>
      <c r="F17" s="6" t="n"/>
    </row>
    <row r="18" ht="32" customHeight="1">
      <c r="A18" s="6" t="n"/>
      <c r="B18" s="10" t="inlineStr">
        <is>
          <t>4. Para-choques e peças plásticas: NÃO MEDIR com medidor Fe/NFe (a leitura não é válida); avalie visualmente.</t>
        </is>
      </c>
      <c r="F18" s="6" t="n"/>
    </row>
    <row r="19" ht="32" customHeight="1">
      <c r="A19" s="6" t="n"/>
      <c r="B19" s="10" t="inlineStr">
        <is>
          <t>5. Use o resultado como indício para o item CAR/EST do Registro; confirme visualmente antes de atribuir o nível.</t>
        </is>
      </c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9" t="inlineStr">
        <is>
          <t>LEGENDA DE CORES</t>
        </is>
      </c>
      <c r="C21" s="6" t="n"/>
      <c r="D21" s="6" t="n"/>
      <c r="E21" s="6" t="n"/>
      <c r="F21" s="6" t="n"/>
    </row>
    <row r="22">
      <c r="A22" s="6" t="n"/>
      <c r="B22" s="11" t="inlineStr">
        <is>
          <t>1234,00</t>
        </is>
      </c>
      <c r="C22" s="12" t="inlineStr">
        <is>
          <t>Texto AZUL (fundo azul-claro) = ENTRADA: você digita ou escolhe na lista.</t>
        </is>
      </c>
      <c r="F22" s="6" t="n"/>
    </row>
    <row r="23">
      <c r="A23" s="6" t="n"/>
      <c r="B23" s="13">
        <f>2*617</f>
        <v/>
      </c>
      <c r="C23" s="12" t="inlineStr">
        <is>
          <t>Texto PRETO = FÓRMULA: calculado automaticamente. Não digite por cima.</t>
        </is>
      </c>
      <c r="F23" s="6" t="n"/>
    </row>
    <row r="24">
      <c r="A24" s="6" t="n"/>
      <c r="B24" s="14" t="inlineStr">
        <is>
          <t>Cabeçalho</t>
        </is>
      </c>
      <c r="C24" s="12" t="inlineStr">
        <is>
          <t>Faixa escura = títulos de colunas (não editar).</t>
        </is>
      </c>
      <c r="F24" s="6" t="n"/>
    </row>
    <row r="25">
      <c r="A25" s="6" t="n"/>
      <c r="B25" s="6" t="n"/>
      <c r="C25" s="6" t="n"/>
      <c r="D25" s="6" t="n"/>
      <c r="E25" s="6" t="n"/>
      <c r="F25" s="6" t="n"/>
    </row>
    <row r="26" ht="30" customHeight="1">
      <c r="A26" s="6" t="n"/>
      <c r="B26" s="15" t="inlineStr">
        <is>
          <t>Valores de referência são ORIENTATIVOS e variam por fabricante, modelo, ano e processo de pintura de fábrica.</t>
        </is>
      </c>
      <c r="F26" s="6" t="n"/>
    </row>
    <row r="27" ht="30" customHeight="1">
      <c r="A27" s="6" t="n"/>
      <c r="B27" s="15" t="inlineStr">
        <is>
          <t>Medidor Fe/NFe: Fe (ferroso) para aço; NFe (não ferroso) para alumínio. Peças de alumínio exigem o modo/sonda NFe.</t>
        </is>
      </c>
      <c r="F27" s="6" t="n"/>
    </row>
    <row r="28">
      <c r="A28" s="6" t="n"/>
      <c r="B28" s="6" t="n"/>
      <c r="C28" s="6" t="n"/>
      <c r="D28" s="6" t="n"/>
      <c r="E28" s="6" t="n"/>
      <c r="F28" s="6" t="n"/>
    </row>
    <row r="29" ht="24" customHeight="1">
      <c r="A29" s="6" t="n"/>
      <c r="B29" s="16" t="inlineStr">
        <is>
          <t>Os valores de exemplo são fictícios. Placas de exemplo: ABC1D23 / XXX0X00. Material de apoio: não substitui norma, perícia oficial nem vistoria de transferência.</t>
        </is>
      </c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</sheetData>
  <mergeCells count="15">
    <mergeCell ref="B17:E17"/>
    <mergeCell ref="B18:E18"/>
    <mergeCell ref="B26:E26"/>
    <mergeCell ref="B27:E27"/>
    <mergeCell ref="B10:E12"/>
    <mergeCell ref="C23:E23"/>
    <mergeCell ref="C22:E22"/>
    <mergeCell ref="B16:E16"/>
    <mergeCell ref="B15:E15"/>
    <mergeCell ref="B29:E29"/>
    <mergeCell ref="B3:E3"/>
    <mergeCell ref="B2:E2"/>
    <mergeCell ref="B19:E19"/>
    <mergeCell ref="B5:E6"/>
    <mergeCell ref="C24:E24"/>
  </mergeCells>
  <printOptions horizontalCentered="1"/>
  <pageMargins left="0.4" right="0.4" top="0.5" bottom="0.5" header="0.5" footer="0.5"/>
  <pageSetup orientation="portrait" paperSize="9" fitToHeight="0" fitToWidth="1"/>
  <headerFooter>
    <oddHeader/>
    <oddFooter>&amp;L&amp;8 Protocolo Cautelar&amp;R&amp;8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8" customWidth="1" min="10" max="10"/>
    <col width="34" customWidth="1" min="11" max="11"/>
    <col width="28" customWidth="1" min="12" max="12"/>
  </cols>
  <sheetData>
    <row r="1" ht="28" customHeight="1">
      <c r="A1" s="17" t="inlineStr">
        <is>
          <t>PROTOCOLO CAUTELAR  |  MAPA DE PINTURA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8" t="inlineStr">
        <is>
          <t>Leituras em µm. Células azuis = entrada. Status por razão média/referência.</t>
        </is>
      </c>
      <c r="K2" s="7" t="inlineStr">
        <is>
          <t>[ SUA LOGO / SEU NOME AQUI ]</t>
        </is>
      </c>
      <c r="L2" s="8" t="n"/>
    </row>
    <row r="3">
      <c r="K3" s="8" t="n"/>
      <c r="L3" s="8" t="n"/>
    </row>
    <row r="4">
      <c r="A4" s="19" t="inlineStr">
        <is>
          <t>Placa / laudo</t>
        </is>
      </c>
      <c r="B4" s="11" t="inlineStr">
        <is>
          <t>ABC1D23</t>
        </is>
      </c>
      <c r="E4" s="19" t="inlineStr">
        <is>
          <t>Medidor (Fe/NFe)</t>
        </is>
      </c>
      <c r="F4" s="20" t="n"/>
      <c r="G4" s="11" t="inlineStr">
        <is>
          <t>Fe/NFe automático</t>
        </is>
      </c>
    </row>
    <row r="5">
      <c r="A5" s="19" t="inlineStr">
        <is>
          <t>Mediana automática (µm)</t>
        </is>
      </c>
      <c r="B5" s="21">
        <f>IF(COUNT(H10:H28)=0,"",MEDIAN(H10:H28))</f>
        <v/>
      </c>
      <c r="C5" s="22" t="n"/>
      <c r="D5" s="20" t="n"/>
      <c r="E5" s="19" t="inlineStr">
        <is>
          <t>Limite compatível (razão ≤)</t>
        </is>
      </c>
      <c r="F5" s="22" t="n"/>
      <c r="G5" s="20" t="n"/>
      <c r="H5" s="23" t="n">
        <v>1.3</v>
      </c>
    </row>
    <row r="6">
      <c r="A6" s="19" t="inlineStr">
        <is>
          <t>Referência manual (µm) — opcional</t>
        </is>
      </c>
      <c r="B6" s="24" t="n"/>
      <c r="C6" s="22" t="n"/>
      <c r="D6" s="20" t="n"/>
      <c r="E6" s="19" t="inlineStr">
        <is>
          <t>Limite repintura (razão ≤)</t>
        </is>
      </c>
      <c r="F6" s="22" t="n"/>
      <c r="G6" s="20" t="n"/>
      <c r="H6" s="23" t="n">
        <v>2</v>
      </c>
    </row>
    <row r="7">
      <c r="A7" s="19" t="inlineStr">
        <is>
          <t>REFERÊNCIA USADA (µm)</t>
        </is>
      </c>
      <c r="B7" s="25">
        <f>IF(ISNUMBER(B6),B6,B5)</f>
        <v/>
      </c>
      <c r="C7" s="22" t="n"/>
      <c r="D7" s="20" t="n"/>
      <c r="E7" s="19" t="inlineStr">
        <is>
          <t>Acima disso</t>
        </is>
      </c>
      <c r="F7" s="22" t="n"/>
      <c r="G7" s="20" t="n"/>
      <c r="H7" s="26">
        <f>"&gt;"&amp;TEXT(H6,"0.00")</f>
        <v/>
      </c>
      <c r="I7" s="18" t="inlineStr">
        <is>
          <t>com massa/reparo</t>
        </is>
      </c>
    </row>
    <row r="9" ht="30" customHeight="1">
      <c r="A9" s="27" t="inlineStr">
        <is>
          <t>Peça</t>
        </is>
      </c>
      <c r="B9" s="27" t="inlineStr">
        <is>
          <t>Material</t>
        </is>
      </c>
      <c r="C9" s="27" t="inlineStr">
        <is>
          <t>L1</t>
        </is>
      </c>
      <c r="D9" s="27" t="inlineStr">
        <is>
          <t>L2</t>
        </is>
      </c>
      <c r="E9" s="27" t="inlineStr">
        <is>
          <t>L3</t>
        </is>
      </c>
      <c r="F9" s="27" t="inlineStr">
        <is>
          <t>L4</t>
        </is>
      </c>
      <c r="G9" s="27" t="inlineStr">
        <is>
          <t>L5</t>
        </is>
      </c>
      <c r="H9" s="27" t="inlineStr">
        <is>
          <t>Média</t>
        </is>
      </c>
      <c r="I9" s="27" t="inlineStr">
        <is>
          <t>Razão</t>
        </is>
      </c>
      <c r="J9" s="27" t="inlineStr">
        <is>
          <t>Nº</t>
        </is>
      </c>
      <c r="K9" s="27" t="inlineStr">
        <is>
          <t>Status</t>
        </is>
      </c>
      <c r="L9" s="27" t="inlineStr">
        <is>
          <t>Observação</t>
        </is>
      </c>
    </row>
    <row r="10" ht="18" customHeight="1">
      <c r="A10" s="28" t="inlineStr">
        <is>
          <t>Capô</t>
        </is>
      </c>
      <c r="B10" s="29" t="inlineStr">
        <is>
          <t>Aço</t>
        </is>
      </c>
      <c r="C10" s="24" t="n">
        <v>108</v>
      </c>
      <c r="D10" s="24" t="n">
        <v>112</v>
      </c>
      <c r="E10" s="24" t="n">
        <v>110</v>
      </c>
      <c r="F10" s="24" t="n">
        <v>115</v>
      </c>
      <c r="G10" s="24" t="n">
        <v>109</v>
      </c>
      <c r="H10" s="21">
        <f>IF(OR(B10="Plástico",COUNT(C10:G10)=0),"",AVERAGE(C10:G10))</f>
        <v/>
      </c>
      <c r="I10" s="30">
        <f>IF(OR(H10="",$B$7=""),"",H10/$B$7)</f>
        <v/>
      </c>
      <c r="J10" s="26">
        <f>COUNT(C10:G10)</f>
        <v/>
      </c>
      <c r="K10" s="26">
        <f>IF(B10="Plástico","NÃO MEDIR (plástico)",IF(I10="","— sem leitura",IF(I10&lt;=$H$5,"Compatível",IF(I10&lt;=$H$6,"Provável repintura","Provável repintura c/ massa/reparo"))))</f>
        <v/>
      </c>
      <c r="L10" s="11" t="n"/>
    </row>
    <row r="11" ht="18" customHeight="1">
      <c r="A11" s="28" t="inlineStr">
        <is>
          <t>Teto</t>
        </is>
      </c>
      <c r="B11" s="29" t="inlineStr">
        <is>
          <t>Aço</t>
        </is>
      </c>
      <c r="C11" s="24" t="n">
        <v>104</v>
      </c>
      <c r="D11" s="24" t="n">
        <v>106</v>
      </c>
      <c r="E11" s="24" t="n">
        <v>101</v>
      </c>
      <c r="F11" s="24" t="n">
        <v>108</v>
      </c>
      <c r="G11" s="24" t="n">
        <v>103</v>
      </c>
      <c r="H11" s="21">
        <f>IF(OR(B11="Plástico",COUNT(C11:G11)=0),"",AVERAGE(C11:G11))</f>
        <v/>
      </c>
      <c r="I11" s="30">
        <f>IF(OR(H11="",$B$7=""),"",H11/$B$7)</f>
        <v/>
      </c>
      <c r="J11" s="26">
        <f>COUNT(C11:G11)</f>
        <v/>
      </c>
      <c r="K11" s="26">
        <f>IF(B11="Plástico","NÃO MEDIR (plástico)",IF(I11="","— sem leitura",IF(I11&lt;=$H$5,"Compatível",IF(I11&lt;=$H$6,"Provável repintura","Provável repintura c/ massa/reparo"))))</f>
        <v/>
      </c>
      <c r="L11" s="11" t="n"/>
    </row>
    <row r="12" ht="18" customHeight="1">
      <c r="A12" s="28" t="inlineStr">
        <is>
          <t>Tampa traseira / porta-malas</t>
        </is>
      </c>
      <c r="B12" s="29" t="inlineStr">
        <is>
          <t>Aço</t>
        </is>
      </c>
      <c r="C12" s="24" t="n">
        <v>112</v>
      </c>
      <c r="D12" s="24" t="n">
        <v>109</v>
      </c>
      <c r="E12" s="24" t="n">
        <v>114</v>
      </c>
      <c r="F12" s="24" t="n">
        <v>110</v>
      </c>
      <c r="G12" s="24" t="n">
        <v>111</v>
      </c>
      <c r="H12" s="21">
        <f>IF(OR(B12="Plástico",COUNT(C12:G12)=0),"",AVERAGE(C12:G12))</f>
        <v/>
      </c>
      <c r="I12" s="30">
        <f>IF(OR(H12="",$B$7=""),"",H12/$B$7)</f>
        <v/>
      </c>
      <c r="J12" s="26">
        <f>COUNT(C12:G12)</f>
        <v/>
      </c>
      <c r="K12" s="26">
        <f>IF(B12="Plástico","NÃO MEDIR (plástico)",IF(I12="","— sem leitura",IF(I12&lt;=$H$5,"Compatível",IF(I12&lt;=$H$6,"Provável repintura","Provável repintura c/ massa/reparo"))))</f>
        <v/>
      </c>
      <c r="L12" s="11" t="n"/>
    </row>
    <row r="13" ht="18" customHeight="1">
      <c r="A13" s="28" t="inlineStr">
        <is>
          <t>Paralama dianteiro esquerdo</t>
        </is>
      </c>
      <c r="B13" s="29" t="inlineStr">
        <is>
          <t>Aço</t>
        </is>
      </c>
      <c r="C13" s="24" t="n">
        <v>118</v>
      </c>
      <c r="D13" s="24" t="n">
        <v>115</v>
      </c>
      <c r="E13" s="24" t="n">
        <v>120</v>
      </c>
      <c r="F13" s="24" t="n">
        <v>117</v>
      </c>
      <c r="G13" s="24" t="n">
        <v>116</v>
      </c>
      <c r="H13" s="21">
        <f>IF(OR(B13="Plástico",COUNT(C13:G13)=0),"",AVERAGE(C13:G13))</f>
        <v/>
      </c>
      <c r="I13" s="30">
        <f>IF(OR(H13="",$B$7=""),"",H13/$B$7)</f>
        <v/>
      </c>
      <c r="J13" s="26">
        <f>COUNT(C13:G13)</f>
        <v/>
      </c>
      <c r="K13" s="26">
        <f>IF(B13="Plástico","NÃO MEDIR (plástico)",IF(I13="","— sem leitura",IF(I13&lt;=$H$5,"Compatível",IF(I13&lt;=$H$6,"Provável repintura","Provável repintura c/ massa/reparo"))))</f>
        <v/>
      </c>
      <c r="L13" s="11" t="n"/>
    </row>
    <row r="14" ht="18" customHeight="1">
      <c r="A14" s="28" t="inlineStr">
        <is>
          <t>Paralama dianteiro direito</t>
        </is>
      </c>
      <c r="B14" s="29" t="inlineStr">
        <is>
          <t>Aço</t>
        </is>
      </c>
      <c r="C14" s="24" t="n">
        <v>113</v>
      </c>
      <c r="D14" s="24" t="n">
        <v>111</v>
      </c>
      <c r="E14" s="24" t="n">
        <v>116</v>
      </c>
      <c r="F14" s="24" t="n">
        <v>112</v>
      </c>
      <c r="G14" s="24" t="n">
        <v>114</v>
      </c>
      <c r="H14" s="21">
        <f>IF(OR(B14="Plástico",COUNT(C14:G14)=0),"",AVERAGE(C14:G14))</f>
        <v/>
      </c>
      <c r="I14" s="30">
        <f>IF(OR(H14="",$B$7=""),"",H14/$B$7)</f>
        <v/>
      </c>
      <c r="J14" s="26">
        <f>COUNT(C14:G14)</f>
        <v/>
      </c>
      <c r="K14" s="26">
        <f>IF(B14="Plástico","NÃO MEDIR (plástico)",IF(I14="","— sem leitura",IF(I14&lt;=$H$5,"Compatível",IF(I14&lt;=$H$6,"Provável repintura","Provável repintura c/ massa/reparo"))))</f>
        <v/>
      </c>
      <c r="L14" s="11" t="n"/>
    </row>
    <row r="15" ht="18" customHeight="1">
      <c r="A15" s="28" t="inlineStr">
        <is>
          <t>Porta dianteira esquerda</t>
        </is>
      </c>
      <c r="B15" s="29" t="inlineStr">
        <is>
          <t>Aço</t>
        </is>
      </c>
      <c r="C15" s="24" t="n">
        <v>110</v>
      </c>
      <c r="D15" s="24" t="n">
        <v>107</v>
      </c>
      <c r="E15" s="24" t="n">
        <v>112</v>
      </c>
      <c r="F15" s="24" t="n">
        <v>109</v>
      </c>
      <c r="G15" s="24" t="n">
        <v>111</v>
      </c>
      <c r="H15" s="21">
        <f>IF(OR(B15="Plástico",COUNT(C15:G15)=0),"",AVERAGE(C15:G15))</f>
        <v/>
      </c>
      <c r="I15" s="30">
        <f>IF(OR(H15="",$B$7=""),"",H15/$B$7)</f>
        <v/>
      </c>
      <c r="J15" s="26">
        <f>COUNT(C15:G15)</f>
        <v/>
      </c>
      <c r="K15" s="26">
        <f>IF(B15="Plástico","NÃO MEDIR (plástico)",IF(I15="","— sem leitura",IF(I15&lt;=$H$5,"Compatível",IF(I15&lt;=$H$6,"Provável repintura","Provável repintura c/ massa/reparo"))))</f>
        <v/>
      </c>
      <c r="L15" s="11" t="n"/>
    </row>
    <row r="16" ht="18" customHeight="1">
      <c r="A16" s="28" t="inlineStr">
        <is>
          <t>Porta traseira esquerda</t>
        </is>
      </c>
      <c r="B16" s="29" t="inlineStr">
        <is>
          <t>Aço</t>
        </is>
      </c>
      <c r="C16" s="24" t="n">
        <v>106</v>
      </c>
      <c r="D16" s="24" t="n">
        <v>108</v>
      </c>
      <c r="E16" s="24" t="n">
        <v>110</v>
      </c>
      <c r="F16" s="24" t="n">
        <v>107</v>
      </c>
      <c r="G16" s="24" t="n">
        <v>105</v>
      </c>
      <c r="H16" s="21">
        <f>IF(OR(B16="Plástico",COUNT(C16:G16)=0),"",AVERAGE(C16:G16))</f>
        <v/>
      </c>
      <c r="I16" s="30">
        <f>IF(OR(H16="",$B$7=""),"",H16/$B$7)</f>
        <v/>
      </c>
      <c r="J16" s="26">
        <f>COUNT(C16:G16)</f>
        <v/>
      </c>
      <c r="K16" s="26">
        <f>IF(B16="Plástico","NÃO MEDIR (plástico)",IF(I16="","— sem leitura",IF(I16&lt;=$H$5,"Compatível",IF(I16&lt;=$H$6,"Provável repintura","Provável repintura c/ massa/reparo"))))</f>
        <v/>
      </c>
      <c r="L16" s="11" t="n"/>
    </row>
    <row r="17" ht="18" customHeight="1">
      <c r="A17" s="28" t="inlineStr">
        <is>
          <t>Porta dianteira direita</t>
        </is>
      </c>
      <c r="B17" s="29" t="inlineStr">
        <is>
          <t>Aço</t>
        </is>
      </c>
      <c r="C17" s="24" t="n">
        <v>115</v>
      </c>
      <c r="D17" s="24" t="n">
        <v>112</v>
      </c>
      <c r="E17" s="24" t="n">
        <v>110</v>
      </c>
      <c r="F17" s="24" t="n">
        <v>114</v>
      </c>
      <c r="G17" s="24" t="n">
        <v>113</v>
      </c>
      <c r="H17" s="21">
        <f>IF(OR(B17="Plástico",COUNT(C17:G17)=0),"",AVERAGE(C17:G17))</f>
        <v/>
      </c>
      <c r="I17" s="30">
        <f>IF(OR(H17="",$B$7=""),"",H17/$B$7)</f>
        <v/>
      </c>
      <c r="J17" s="26">
        <f>COUNT(C17:G17)</f>
        <v/>
      </c>
      <c r="K17" s="26">
        <f>IF(B17="Plástico","NÃO MEDIR (plástico)",IF(I17="","— sem leitura",IF(I17&lt;=$H$5,"Compatível",IF(I17&lt;=$H$6,"Provável repintura","Provável repintura c/ massa/reparo"))))</f>
        <v/>
      </c>
      <c r="L17" s="11" t="n"/>
    </row>
    <row r="18" ht="18" customHeight="1">
      <c r="A18" s="28" t="inlineStr">
        <is>
          <t>Porta traseira direita</t>
        </is>
      </c>
      <c r="B18" s="29" t="inlineStr">
        <is>
          <t>Aço</t>
        </is>
      </c>
      <c r="C18" s="24" t="n">
        <v>185</v>
      </c>
      <c r="D18" s="24" t="n">
        <v>192</v>
      </c>
      <c r="E18" s="24" t="n">
        <v>178</v>
      </c>
      <c r="F18" s="24" t="n">
        <v>188</v>
      </c>
      <c r="G18" s="24" t="n">
        <v>181</v>
      </c>
      <c r="H18" s="21">
        <f>IF(OR(B18="Plástico",COUNT(C18:G18)=0),"",AVERAGE(C18:G18))</f>
        <v/>
      </c>
      <c r="I18" s="30">
        <f>IF(OR(H18="",$B$7=""),"",H18/$B$7)</f>
        <v/>
      </c>
      <c r="J18" s="26">
        <f>COUNT(C18:G18)</f>
        <v/>
      </c>
      <c r="K18" s="26">
        <f>IF(B18="Plástico","NÃO MEDIR (plástico)",IF(I18="","— sem leitura",IF(I18&lt;=$H$5,"Compatível",IF(I18&lt;=$H$6,"Provável repintura","Provável repintura c/ massa/reparo"))))</f>
        <v/>
      </c>
      <c r="L18" s="11" t="inlineStr">
        <is>
          <t>Exemplo: repintura na porta</t>
        </is>
      </c>
    </row>
    <row r="19" ht="18" customHeight="1">
      <c r="A19" s="28" t="inlineStr">
        <is>
          <t>Lateral traseira esquerda</t>
        </is>
      </c>
      <c r="B19" s="29" t="inlineStr">
        <is>
          <t>Aço</t>
        </is>
      </c>
      <c r="C19" s="24" t="n">
        <v>109</v>
      </c>
      <c r="D19" s="24" t="n">
        <v>111</v>
      </c>
      <c r="E19" s="24" t="n">
        <v>108</v>
      </c>
      <c r="F19" s="24" t="n">
        <v>112</v>
      </c>
      <c r="G19" s="24" t="n">
        <v>110</v>
      </c>
      <c r="H19" s="21">
        <f>IF(OR(B19="Plástico",COUNT(C19:G19)=0),"",AVERAGE(C19:G19))</f>
        <v/>
      </c>
      <c r="I19" s="30">
        <f>IF(OR(H19="",$B$7=""),"",H19/$B$7)</f>
        <v/>
      </c>
      <c r="J19" s="26">
        <f>COUNT(C19:G19)</f>
        <v/>
      </c>
      <c r="K19" s="26">
        <f>IF(B19="Plástico","NÃO MEDIR (plástico)",IF(I19="","— sem leitura",IF(I19&lt;=$H$5,"Compatível",IF(I19&lt;=$H$6,"Provável repintura","Provável repintura c/ massa/reparo"))))</f>
        <v/>
      </c>
      <c r="L19" s="11" t="n"/>
    </row>
    <row r="20" ht="18" customHeight="1">
      <c r="A20" s="28" t="inlineStr">
        <is>
          <t>Lateral traseira direita</t>
        </is>
      </c>
      <c r="B20" s="29" t="inlineStr">
        <is>
          <t>Aço</t>
        </is>
      </c>
      <c r="C20" s="24" t="n">
        <v>320</v>
      </c>
      <c r="D20" s="24" t="n">
        <v>410</v>
      </c>
      <c r="E20" s="24" t="n">
        <v>290</v>
      </c>
      <c r="F20" s="24" t="n">
        <v>360</v>
      </c>
      <c r="G20" s="24" t="n">
        <v>385</v>
      </c>
      <c r="H20" s="21">
        <f>IF(OR(B20="Plástico",COUNT(C20:G20)=0),"",AVERAGE(C20:G20))</f>
        <v/>
      </c>
      <c r="I20" s="30">
        <f>IF(OR(H20="",$B$7=""),"",H20/$B$7)</f>
        <v/>
      </c>
      <c r="J20" s="26">
        <f>COUNT(C20:G20)</f>
        <v/>
      </c>
      <c r="K20" s="26">
        <f>IF(B20="Plástico","NÃO MEDIR (plástico)",IF(I20="","— sem leitura",IF(I20&lt;=$H$5,"Compatível",IF(I20&lt;=$H$6,"Provável repintura","Provável repintura c/ massa/reparo"))))</f>
        <v/>
      </c>
      <c r="L20" s="11" t="inlineStr">
        <is>
          <t>Exemplo: conferir funilaria</t>
        </is>
      </c>
    </row>
    <row r="21" ht="18" customHeight="1">
      <c r="A21" s="28" t="inlineStr">
        <is>
          <t>Coluna A esquerda</t>
        </is>
      </c>
      <c r="B21" s="29" t="inlineStr">
        <is>
          <t>Aço</t>
        </is>
      </c>
      <c r="C21" s="24" t="n">
        <v>105</v>
      </c>
      <c r="D21" s="24" t="n">
        <v>103</v>
      </c>
      <c r="E21" s="24" t="n">
        <v>108</v>
      </c>
      <c r="F21" s="24" t="n"/>
      <c r="G21" s="24" t="n"/>
      <c r="H21" s="21">
        <f>IF(OR(B21="Plástico",COUNT(C21:G21)=0),"",AVERAGE(C21:G21))</f>
        <v/>
      </c>
      <c r="I21" s="30">
        <f>IF(OR(H21="",$B$7=""),"",H21/$B$7)</f>
        <v/>
      </c>
      <c r="J21" s="26">
        <f>COUNT(C21:G21)</f>
        <v/>
      </c>
      <c r="K21" s="26">
        <f>IF(B21="Plástico","NÃO MEDIR (plástico)",IF(I21="","— sem leitura",IF(I21&lt;=$H$5,"Compatível",IF(I21&lt;=$H$6,"Provável repintura","Provável repintura c/ massa/reparo"))))</f>
        <v/>
      </c>
      <c r="L21" s="11" t="n"/>
    </row>
    <row r="22" ht="18" customHeight="1">
      <c r="A22" s="28" t="inlineStr">
        <is>
          <t>Coluna A direita</t>
        </is>
      </c>
      <c r="B22" s="29" t="inlineStr">
        <is>
          <t>Aço</t>
        </is>
      </c>
      <c r="C22" s="24" t="n">
        <v>107</v>
      </c>
      <c r="D22" s="24" t="n">
        <v>104</v>
      </c>
      <c r="E22" s="24" t="n">
        <v>106</v>
      </c>
      <c r="F22" s="24" t="n"/>
      <c r="G22" s="24" t="n"/>
      <c r="H22" s="21">
        <f>IF(OR(B22="Plástico",COUNT(C22:G22)=0),"",AVERAGE(C22:G22))</f>
        <v/>
      </c>
      <c r="I22" s="30">
        <f>IF(OR(H22="",$B$7=""),"",H22/$B$7)</f>
        <v/>
      </c>
      <c r="J22" s="26">
        <f>COUNT(C22:G22)</f>
        <v/>
      </c>
      <c r="K22" s="26">
        <f>IF(B22="Plástico","NÃO MEDIR (plástico)",IF(I22="","— sem leitura",IF(I22&lt;=$H$5,"Compatível",IF(I22&lt;=$H$6,"Provável repintura","Provável repintura c/ massa/reparo"))))</f>
        <v/>
      </c>
      <c r="L22" s="11" t="n"/>
    </row>
    <row r="23" ht="18" customHeight="1">
      <c r="A23" s="28" t="inlineStr">
        <is>
          <t>Coluna B esquerda</t>
        </is>
      </c>
      <c r="B23" s="29" t="inlineStr">
        <is>
          <t>Aço</t>
        </is>
      </c>
      <c r="C23" s="24" t="n"/>
      <c r="D23" s="24" t="n"/>
      <c r="E23" s="24" t="n"/>
      <c r="F23" s="24" t="n"/>
      <c r="G23" s="24" t="n"/>
      <c r="H23" s="21">
        <f>IF(OR(B23="Plástico",COUNT(C23:G23)=0),"",AVERAGE(C23:G23))</f>
        <v/>
      </c>
      <c r="I23" s="30">
        <f>IF(OR(H23="",$B$7=""),"",H23/$B$7)</f>
        <v/>
      </c>
      <c r="J23" s="26">
        <f>COUNT(C23:G23)</f>
        <v/>
      </c>
      <c r="K23" s="26">
        <f>IF(B23="Plástico","NÃO MEDIR (plástico)",IF(I23="","— sem leitura",IF(I23&lt;=$H$5,"Compatível",IF(I23&lt;=$H$6,"Provável repintura","Provável repintura c/ massa/reparo"))))</f>
        <v/>
      </c>
      <c r="L23" s="11" t="n"/>
    </row>
    <row r="24" ht="18" customHeight="1">
      <c r="A24" s="28" t="inlineStr">
        <is>
          <t>Coluna B direita</t>
        </is>
      </c>
      <c r="B24" s="29" t="inlineStr">
        <is>
          <t>Aço</t>
        </is>
      </c>
      <c r="C24" s="24" t="n"/>
      <c r="D24" s="24" t="n"/>
      <c r="E24" s="24" t="n"/>
      <c r="F24" s="24" t="n"/>
      <c r="G24" s="24" t="n"/>
      <c r="H24" s="21">
        <f>IF(OR(B24="Plástico",COUNT(C24:G24)=0),"",AVERAGE(C24:G24))</f>
        <v/>
      </c>
      <c r="I24" s="30">
        <f>IF(OR(H24="",$B$7=""),"",H24/$B$7)</f>
        <v/>
      </c>
      <c r="J24" s="26">
        <f>COUNT(C24:G24)</f>
        <v/>
      </c>
      <c r="K24" s="26">
        <f>IF(B24="Plástico","NÃO MEDIR (plástico)",IF(I24="","— sem leitura",IF(I24&lt;=$H$5,"Compatível",IF(I24&lt;=$H$6,"Provável repintura","Provável repintura c/ massa/reparo"))))</f>
        <v/>
      </c>
      <c r="L24" s="11" t="n"/>
    </row>
    <row r="25" ht="18" customHeight="1">
      <c r="A25" s="28" t="inlineStr">
        <is>
          <t>Soleira esquerda</t>
        </is>
      </c>
      <c r="B25" s="29" t="inlineStr">
        <is>
          <t>Aço</t>
        </is>
      </c>
      <c r="C25" s="24" t="n"/>
      <c r="D25" s="24" t="n"/>
      <c r="E25" s="24" t="n"/>
      <c r="F25" s="24" t="n"/>
      <c r="G25" s="24" t="n"/>
      <c r="H25" s="21">
        <f>IF(OR(B25="Plástico",COUNT(C25:G25)=0),"",AVERAGE(C25:G25))</f>
        <v/>
      </c>
      <c r="I25" s="30">
        <f>IF(OR(H25="",$B$7=""),"",H25/$B$7)</f>
        <v/>
      </c>
      <c r="J25" s="26">
        <f>COUNT(C25:G25)</f>
        <v/>
      </c>
      <c r="K25" s="26">
        <f>IF(B25="Plástico","NÃO MEDIR (plástico)",IF(I25="","— sem leitura",IF(I25&lt;=$H$5,"Compatível",IF(I25&lt;=$H$6,"Provável repintura","Provável repintura c/ massa/reparo"))))</f>
        <v/>
      </c>
      <c r="L25" s="11" t="n"/>
    </row>
    <row r="26" ht="18" customHeight="1">
      <c r="A26" s="28" t="inlineStr">
        <is>
          <t>Soleira direita</t>
        </is>
      </c>
      <c r="B26" s="29" t="inlineStr">
        <is>
          <t>Aço</t>
        </is>
      </c>
      <c r="C26" s="24" t="n"/>
      <c r="D26" s="24" t="n"/>
      <c r="E26" s="24" t="n"/>
      <c r="F26" s="24" t="n"/>
      <c r="G26" s="24" t="n"/>
      <c r="H26" s="21">
        <f>IF(OR(B26="Plástico",COUNT(C26:G26)=0),"",AVERAGE(C26:G26))</f>
        <v/>
      </c>
      <c r="I26" s="30">
        <f>IF(OR(H26="",$B$7=""),"",H26/$B$7)</f>
        <v/>
      </c>
      <c r="J26" s="26">
        <f>COUNT(C26:G26)</f>
        <v/>
      </c>
      <c r="K26" s="26">
        <f>IF(B26="Plástico","NÃO MEDIR (plástico)",IF(I26="","— sem leitura",IF(I26&lt;=$H$5,"Compatível",IF(I26&lt;=$H$6,"Provável repintura","Provável repintura c/ massa/reparo"))))</f>
        <v/>
      </c>
      <c r="L26" s="11" t="n"/>
    </row>
    <row r="27" ht="18" customHeight="1">
      <c r="A27" s="28" t="inlineStr">
        <is>
          <t>Para-choque dianteiro</t>
        </is>
      </c>
      <c r="B27" s="29" t="inlineStr">
        <is>
          <t>Plástico</t>
        </is>
      </c>
      <c r="C27" s="31" t="n"/>
      <c r="D27" s="31" t="n"/>
      <c r="E27" s="31" t="n"/>
      <c r="F27" s="31" t="n"/>
      <c r="G27" s="31" t="n"/>
      <c r="H27" s="21">
        <f>IF(OR(B27="Plástico",COUNT(C27:G27)=0),"",AVERAGE(C27:G27))</f>
        <v/>
      </c>
      <c r="I27" s="30">
        <f>IF(OR(H27="",$B$7=""),"",H27/$B$7)</f>
        <v/>
      </c>
      <c r="J27" s="26">
        <f>COUNT(C27:G27)</f>
        <v/>
      </c>
      <c r="K27" s="26">
        <f>IF(B27="Plástico","NÃO MEDIR (plástico)",IF(I27="","— sem leitura",IF(I27&lt;=$H$5,"Compatível",IF(I27&lt;=$H$6,"Provável repintura","Provável repintura c/ massa/reparo"))))</f>
        <v/>
      </c>
      <c r="L27" s="11" t="inlineStr">
        <is>
          <t>Avaliar visualmente</t>
        </is>
      </c>
    </row>
    <row r="28" ht="18" customHeight="1">
      <c r="A28" s="28" t="inlineStr">
        <is>
          <t>Para-choque traseiro</t>
        </is>
      </c>
      <c r="B28" s="29" t="inlineStr">
        <is>
          <t>Plástico</t>
        </is>
      </c>
      <c r="C28" s="31" t="n"/>
      <c r="D28" s="31" t="n"/>
      <c r="E28" s="31" t="n"/>
      <c r="F28" s="31" t="n"/>
      <c r="G28" s="31" t="n"/>
      <c r="H28" s="21">
        <f>IF(OR(B28="Plástico",COUNT(C28:G28)=0),"",AVERAGE(C28:G28))</f>
        <v/>
      </c>
      <c r="I28" s="30">
        <f>IF(OR(H28="",$B$7=""),"",H28/$B$7)</f>
        <v/>
      </c>
      <c r="J28" s="26">
        <f>COUNT(C28:G28)</f>
        <v/>
      </c>
      <c r="K28" s="26">
        <f>IF(B28="Plástico","NÃO MEDIR (plástico)",IF(I28="","— sem leitura",IF(I28&lt;=$H$5,"Compatível",IF(I28&lt;=$H$6,"Provável repintura","Provável repintura c/ massa/reparo"))))</f>
        <v/>
      </c>
      <c r="L28" s="11" t="inlineStr">
        <is>
          <t>Avaliar visualmente</t>
        </is>
      </c>
    </row>
    <row r="30" ht="22" customHeight="1">
      <c r="A30" s="27" t="inlineStr">
        <is>
          <t>Resumo</t>
        </is>
      </c>
      <c r="B30" s="27" t="inlineStr">
        <is>
          <t>Qtde</t>
        </is>
      </c>
    </row>
    <row r="31">
      <c r="A31" s="32" t="inlineStr">
        <is>
          <t>Compatível</t>
        </is>
      </c>
      <c r="B31" s="33">
        <f>COUNTIF(K10:K28,"Compatível")</f>
        <v/>
      </c>
    </row>
    <row r="32">
      <c r="A32" s="32" t="inlineStr">
        <is>
          <t>Provável repintura</t>
        </is>
      </c>
      <c r="B32" s="33">
        <f>COUNTIF(K10:K28,"Provável repintura")</f>
        <v/>
      </c>
    </row>
    <row r="33">
      <c r="A33" s="32" t="inlineStr">
        <is>
          <t>Provável repintura c/ massa/reparo</t>
        </is>
      </c>
      <c r="B33" s="33">
        <f>COUNTIF(K10:K28,"Provável repintura c/*")</f>
        <v/>
      </c>
    </row>
    <row r="34">
      <c r="A34" s="32" t="inlineStr">
        <is>
          <t>Sem leitura (metálicas)</t>
        </is>
      </c>
      <c r="B34" s="33">
        <f>COUNTIF(K10:K28,"— sem leitura")</f>
        <v/>
      </c>
    </row>
    <row r="35">
      <c r="A35" s="32" t="inlineStr">
        <is>
          <t>Não medir (plástico)</t>
        </is>
      </c>
      <c r="B35" s="33">
        <f>COUNTIF(K10:K28,"NÃO MEDIR*")</f>
        <v/>
      </c>
    </row>
    <row r="37" ht="30" customHeight="1">
      <c r="A37" s="34" t="inlineStr">
        <is>
          <t>Valores ORIENTATIVOS: a espessura original varia por fabricante, modelo, ano, cor e processo. Limites de razão (1,3 e 2,0) são ponto de partida editável. Medidor Fe/NFe: aço no modo Fe; alumínio exige modo/sonda NFe; plástico e fibra não são medidos por esse método. Espessura alta é INDÍCIO: confirme com inspeção visual (textura, tonalidade, respingos, vedações, parafusos) antes de atribuir o nível no Registro.</t>
        </is>
      </c>
    </row>
    <row r="38" ht="30" customHeight="1"/>
  </sheetData>
  <mergeCells count="14">
    <mergeCell ref="E4:F4"/>
    <mergeCell ref="A37:L38"/>
    <mergeCell ref="B5:D5"/>
    <mergeCell ref="B6:D6"/>
    <mergeCell ref="E5:G5"/>
    <mergeCell ref="I7:J7"/>
    <mergeCell ref="A1:L1"/>
    <mergeCell ref="B4:D4"/>
    <mergeCell ref="K2:L3"/>
    <mergeCell ref="G4:I4"/>
    <mergeCell ref="A2:J2"/>
    <mergeCell ref="B7:D7"/>
    <mergeCell ref="E7:G7"/>
    <mergeCell ref="E6:G6"/>
  </mergeCells>
  <conditionalFormatting sqref="K10:K28">
    <cfRule type="expression" priority="1" dxfId="0" stopIfTrue="1">
      <formula>LEFT(K10,10)="Compatível"</formula>
    </cfRule>
    <cfRule type="expression" priority="2" dxfId="1" stopIfTrue="1">
      <formula>LEFT(K10,21)="Provável repintura c/"</formula>
    </cfRule>
    <cfRule type="expression" priority="3" dxfId="2" stopIfTrue="1">
      <formula>LEFT(K10,18)="Provável repintura"</formula>
    </cfRule>
    <cfRule type="expression" priority="4" dxfId="3" stopIfTrue="1">
      <formula>LEFT(K10,9)="NÃO MEDIR"</formula>
    </cfRule>
  </conditionalFormatting>
  <conditionalFormatting sqref="I10:I28">
    <cfRule type="expression" priority="5" dxfId="4">
      <formula>AND(ISNUMBER(I10),I10&gt;$H$6)</formula>
    </cfRule>
    <cfRule type="expression" priority="6" dxfId="5">
      <formula>AND(ISNUMBER(I10),I10&gt;$H$5)</formula>
    </cfRule>
  </conditionalFormatting>
  <dataValidations count="1">
    <dataValidation sqref="B10:B28" showDropDown="0" showInputMessage="1" showErrorMessage="1" allowBlank="1" errorTitle="Valor inválido" error="Escolha um valor da lista." prompt="Alumínio: use o modo/sonda NFe. Plástico: não medir." type="list">
      <formula1>"Aço,Alumínio,Plástico"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&amp;L&amp;8 Protocolo Cautelar&amp;R&amp;8 Página &amp;P de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2026-09-30T19:39:28Z</dcterms:created>
  <dcterms:modified xmlns:dcterms="http://purl.org/dc/terms/" xmlns:xsi="http://www.w3.org/2001/XMLSchema-instance" xsi:type="dcterms:W3CDTF">2026-09-30T19:39:28Z</dcterms:modified>
</cp:coreProperties>
</file>