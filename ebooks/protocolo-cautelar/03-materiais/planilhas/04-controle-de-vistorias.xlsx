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Vistorias" sheetId="3" state="visible" r:id="rId3"/>
    <sheet xmlns:r="http://schemas.openxmlformats.org/officeDocument/2006/relationships" name="Parceiros" sheetId="4" state="visible" r:id="rId4"/>
  </sheets>
  <definedNames>
    <definedName name="_xlnm.Print_Area" localSheetId="0">'Capa'!$A$1:$F$28</definedName>
    <definedName name="_xlnm.Print_Area" localSheetId="1">'Painel'!$A$1:$G$31</definedName>
    <definedName name="_xlnm._FilterDatabase" localSheetId="2" hidden="1">'Vistorias'!$A$4:$P$504</definedName>
    <definedName name="_xlnm.Print_Titles" localSheetId="2">'Vistorias'!$4:$4</definedName>
    <definedName name="_xlnm.Print_Area" localSheetId="2">'Vistorias'!$A$1:$P$504</definedName>
    <definedName name="_xlnm.Print_Titles" localSheetId="3">'Parceiros'!$4:$4</definedName>
    <definedName name="_xlnm.Print_Area" localSheetId="3">'Parceiros'!$A$1:$F$54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;-0.0%;&quot;-&quot;"/>
    <numFmt numFmtId="165" formatCode="yyyy-mm-dd"/>
    <numFmt numFmtId="166" formatCode="dd/mm/yyyy"/>
    <numFmt numFmtId="167" formatCode="R$ #,##0.00;-R$ #,##0.00;&quot;-&quot;"/>
  </numFmts>
  <fonts count="19">
    <font>
      <name val="Calibri"/>
      <family val="2"/>
      <color theme="1"/>
      <sz val="11"/>
      <scheme val="minor"/>
    </font>
    <font>
      <name val="Calibri"/>
      <b val="1"/>
      <color rgb="00F2A900"/>
      <sz val="24"/>
    </font>
    <font>
      <name val="Calibri"/>
      <i val="1"/>
      <color rgb="00C9CED6"/>
      <sz val="10"/>
    </font>
    <font>
      <name val="Calibri"/>
      <b val="1"/>
      <color rgb="00FFFFFF"/>
      <sz val="18"/>
    </font>
    <font>
      <name val="Calibri"/>
      <b val="1"/>
      <color rgb="000000FF"/>
      <sz val="11"/>
    </font>
    <font>
      <name val="Calibri"/>
      <b val="1"/>
      <color rgb="00B87F00"/>
      <sz val="12"/>
    </font>
    <font>
      <name val="Calibri"/>
      <color rgb="001A1F26"/>
      <sz val="11"/>
    </font>
    <font>
      <name val="Calibri"/>
      <color rgb="000000FF"/>
      <sz val="11"/>
    </font>
    <font>
      <name val="Calibri"/>
      <color rgb="00000000"/>
      <sz val="11"/>
    </font>
    <font>
      <name val="Calibri"/>
      <b val="1"/>
      <color rgb="00FFFFFF"/>
      <sz val="11"/>
    </font>
    <font>
      <name val="Calibri"/>
      <i val="1"/>
      <color rgb="004E5864"/>
      <sz val="9"/>
    </font>
    <font>
      <name val="Calibri"/>
      <i val="1"/>
      <color rgb="007A8591"/>
      <sz val="8"/>
    </font>
    <font>
      <name val="Calibri"/>
      <b val="1"/>
      <color rgb="00F2A900"/>
      <sz val="14"/>
    </font>
    <font>
      <name val="Calibri"/>
      <i val="1"/>
      <color rgb="001A1F26"/>
      <sz val="9"/>
    </font>
    <font>
      <name val="Calibri"/>
      <color rgb="000000FF"/>
      <sz val="10"/>
    </font>
    <font>
      <name val="Calibri"/>
      <color rgb="00000000"/>
      <sz val="10"/>
    </font>
    <font>
      <name val="Calibri"/>
      <b val="1"/>
      <color rgb="004E5864"/>
      <sz val="10"/>
    </font>
    <font>
      <name val="Calibri"/>
      <b val="1"/>
      <color rgb="00000000"/>
      <sz val="11"/>
    </font>
    <font>
      <name val="Calibri"/>
      <color rgb="004E5864"/>
      <sz val="10"/>
    </font>
  </fonts>
  <fills count="10">
    <fill>
      <patternFill/>
    </fill>
    <fill>
      <patternFill patternType="gray125"/>
    </fill>
    <fill>
      <patternFill patternType="solid">
        <fgColor rgb="00FFFFFF"/>
        <bgColor rgb="00FFFFFF"/>
      </patternFill>
    </fill>
    <fill>
      <patternFill patternType="solid">
        <fgColor rgb="000F1318"/>
        <bgColor rgb="000F1318"/>
      </patternFill>
    </fill>
    <fill>
      <patternFill patternType="solid">
        <fgColor rgb="00F2A900"/>
        <bgColor rgb="00F2A900"/>
      </patternFill>
    </fill>
    <fill>
      <patternFill patternType="solid">
        <fgColor rgb="00FFF4D6"/>
        <bgColor rgb="00FFF4D6"/>
      </patternFill>
    </fill>
    <fill>
      <patternFill patternType="solid">
        <fgColor rgb="00EEF3FF"/>
        <bgColor rgb="00EEF3FF"/>
      </patternFill>
    </fill>
    <fill>
      <patternFill patternType="solid">
        <fgColor rgb="00FDECEA"/>
        <bgColor rgb="00FDECEA"/>
      </patternFill>
    </fill>
    <fill>
      <patternFill patternType="solid">
        <fgColor rgb="002A3440"/>
        <bgColor rgb="002A3440"/>
      </patternFill>
    </fill>
    <fill>
      <patternFill patternType="solid">
        <fgColor rgb="00F5F6F8"/>
        <bgColor rgb="00F5F6F8"/>
      </patternFill>
    </fill>
  </fills>
  <borders count="6">
    <border>
      <left/>
      <right/>
      <top/>
      <bottom/>
      <diagonal/>
    </border>
    <border>
      <left style="dashed">
        <color rgb="00B87F00"/>
      </left>
      <right style="dashed">
        <color rgb="00B87F00"/>
      </right>
      <top style="dashed">
        <color rgb="00B87F00"/>
      </top>
      <bottom style="dashed">
        <color rgb="00B87F00"/>
      </bottom>
    </border>
    <border>
      <left style="thin">
        <color rgb="00DDE1E6"/>
      </left>
      <right style="thin">
        <color rgb="00DDE1E6"/>
      </right>
      <top style="thin">
        <color rgb="00DDE1E6"/>
      </top>
      <bottom style="thin">
        <color rgb="00DDE1E6"/>
      </bottom>
    </border>
    <border>
      <left style="thin">
        <color rgb="00DDE1E6"/>
      </left>
      <right/>
      <top/>
      <bottom/>
      <diagonal/>
    </border>
    <border>
      <left style="thin">
        <color rgb="00DDE1E6"/>
      </left>
      <right style="thin">
        <color rgb="00DDE1E6"/>
      </right>
      <top/>
      <bottom/>
      <diagonal/>
    </border>
    <border>
      <left style="thin">
        <color rgb="00DDE1E6"/>
      </left>
      <right style="thin">
        <color rgb="00DDE1E6"/>
      </right>
      <top/>
      <bottom style="thin">
        <color rgb="00DDE1E6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0" fillId="3" borderId="0" pivotButton="0" quotePrefix="0" xfId="0"/>
    <xf numFmtId="0" fontId="1" fillId="3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3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0" fillId="2" borderId="0" pivotButton="0" quotePrefix="0" xfId="0"/>
    <xf numFmtId="0" fontId="4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2" borderId="0" pivotButton="0" quotePrefix="0" xfId="0"/>
    <xf numFmtId="0" fontId="6" fillId="2" borderId="0" applyAlignment="1" pivotButton="0" quotePrefix="0" xfId="0">
      <alignment vertical="top" wrapText="1"/>
    </xf>
    <xf numFmtId="0" fontId="7" fillId="6" borderId="2" pivotButton="0" quotePrefix="0" xfId="0"/>
    <xf numFmtId="0" fontId="6" fillId="2" borderId="0" pivotButton="0" quotePrefix="0" xfId="0"/>
    <xf numFmtId="4" fontId="8" fillId="2" borderId="2" pivotButton="0" quotePrefix="0" xfId="0"/>
    <xf numFmtId="0" fontId="9" fillId="3" borderId="2" pivotButton="0" quotePrefix="0" xfId="0"/>
    <xf numFmtId="0" fontId="10" fillId="2" borderId="0" applyAlignment="1" pivotButton="0" quotePrefix="0" xfId="0">
      <alignment vertical="top" wrapText="1"/>
    </xf>
    <xf numFmtId="0" fontId="11" fillId="2" borderId="0" applyAlignment="1" pivotButton="0" quotePrefix="0" xfId="0">
      <alignment wrapText="1"/>
    </xf>
    <xf numFmtId="0" fontId="12" fillId="3" borderId="0" applyAlignment="1" pivotButton="0" quotePrefix="0" xfId="0">
      <alignment horizontal="left" vertical="center" indent="1"/>
    </xf>
    <xf numFmtId="0" fontId="13" fillId="7" borderId="0" applyAlignment="1" pivotButton="0" quotePrefix="0" xfId="0">
      <alignment vertical="center" wrapText="1" indent="1"/>
    </xf>
    <xf numFmtId="0" fontId="16" fillId="9" borderId="2" applyAlignment="1" pivotButton="0" quotePrefix="0" xfId="0">
      <alignment horizontal="left" vertical="center" wrapText="1"/>
    </xf>
    <xf numFmtId="0" fontId="4" fillId="6" borderId="2" applyAlignment="1" pivotButton="0" quotePrefix="0" xfId="0">
      <alignment horizontal="center" vertical="center" wrapText="1"/>
    </xf>
    <xf numFmtId="0" fontId="17" fillId="0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9" fillId="3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horizontal="left" vertical="center" wrapText="1"/>
    </xf>
    <xf numFmtId="167" fontId="17" fillId="0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 wrapText="1"/>
    </xf>
    <xf numFmtId="167" fontId="8" fillId="0" borderId="2" pivotButton="0" quotePrefix="0" xfId="0"/>
    <xf numFmtId="1" fontId="17" fillId="0" borderId="2" applyAlignment="1" pivotButton="0" quotePrefix="0" xfId="0">
      <alignment horizontal="center" vertical="center" wrapText="1"/>
    </xf>
    <xf numFmtId="164" fontId="8" fillId="0" borderId="2" pivotButton="0" quotePrefix="0" xfId="0"/>
    <xf numFmtId="0" fontId="13" fillId="5" borderId="0" applyAlignment="1" pivotButton="0" quotePrefix="0" xfId="0">
      <alignment vertical="center" wrapText="1" indent="1"/>
    </xf>
    <xf numFmtId="0" fontId="9" fillId="8" borderId="2" applyAlignment="1" pivotButton="0" quotePrefix="0" xfId="0">
      <alignment horizontal="center" vertical="center" wrapText="1"/>
    </xf>
    <xf numFmtId="166" fontId="14" fillId="6" borderId="2" pivotButton="0" quotePrefix="0" xfId="0"/>
    <xf numFmtId="0" fontId="14" fillId="6" borderId="2" pivotButton="0" quotePrefix="0" xfId="0"/>
    <xf numFmtId="167" fontId="14" fillId="6" borderId="2" pivotButton="0" quotePrefix="0" xfId="0"/>
    <xf numFmtId="164" fontId="15" fillId="0" borderId="2" pivotButton="0" quotePrefix="0" xfId="0"/>
    <xf numFmtId="167" fontId="15" fillId="0" borderId="2" pivotButton="0" quotePrefix="0" xfId="0"/>
    <xf numFmtId="0" fontId="15" fillId="0" borderId="2" applyAlignment="1" pivotButton="0" quotePrefix="0" xfId="0">
      <alignment horizontal="center" vertical="center" wrapText="1"/>
    </xf>
    <xf numFmtId="164" fontId="7" fillId="6" borderId="2" pivotButton="0" quotePrefix="0" xfId="0"/>
  </cellXfs>
  <cellStyles count="1">
    <cellStyle name="Normal" xfId="0" builtinId="0" hidden="0"/>
  </cellStyles>
  <dxfs count="6">
    <dxf>
      <fill>
        <patternFill patternType="solid">
          <fgColor rgb="00FFF4D6"/>
          <bgColor rgb="00FFF4D6"/>
        </patternFill>
      </fill>
    </dxf>
    <dxf>
      <fill>
        <patternFill patternType="solid">
          <fgColor rgb="00E6E8EB"/>
          <bgColor rgb="00E6E8EB"/>
        </patternFill>
      </fill>
    </dxf>
    <dxf>
      <font>
        <name val="Calibri"/>
        <b val="1"/>
        <color rgb="00FFFFFF"/>
      </font>
      <fill>
        <patternFill patternType="solid">
          <fgColor rgb="00C62828"/>
          <bgColor rgb="00C62828"/>
        </patternFill>
      </fill>
    </dxf>
    <dxf>
      <font>
        <name val="Calibri"/>
        <b val="1"/>
        <color rgb="00FFFFFF"/>
      </font>
      <fill>
        <patternFill patternType="solid">
          <fgColor rgb="005A6472"/>
          <bgColor rgb="005A6472"/>
        </patternFill>
      </fill>
    </dxf>
    <dxf>
      <font>
        <name val="Calibri"/>
        <b val="1"/>
        <color rgb="001A1F26"/>
      </font>
      <fill>
        <patternFill patternType="solid">
          <fgColor rgb="00E0A100"/>
          <bgColor rgb="00E0A100"/>
        </patternFill>
      </fill>
    </dxf>
    <dxf>
      <font>
        <name val="Calibri"/>
        <b val="1"/>
        <color rgb="00FFFFFF"/>
      </font>
      <fill>
        <patternFill patternType="solid">
          <fgColor rgb="002E9E5B"/>
          <bgColor rgb="002E9E5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Protocolo Cautelar</author>
  </authors>
  <commentList>
    <comment ref="B10" authorId="0" shapeId="0">
      <text>
        <t>Substitua pelo seu nome/empresa ou apague o texto e use Inserir &gt; Imagem para colocar sua logo sobre esta área.</t>
      </text>
    </comment>
  </commentList>
</comments>
</file>

<file path=xl/comments/comment2.xml><?xml version="1.0" encoding="utf-8"?>
<comments xmlns="http://schemas.openxmlformats.org/spreadsheetml/2006/main">
  <authors>
    <author>Protocolo Cautelar</author>
  </authors>
  <commentList>
    <comment ref="E2" authorId="0" shapeId="0">
      <text>
        <t>Substitua pelo seu nome/empresa ou apague o texto e use Inserir &gt; Imagem para colocar sua logo sobre esta área.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  <col width="3" customWidth="1" min="6" max="6"/>
  </cols>
  <sheetData>
    <row r="1">
      <c r="A1" s="1" t="n"/>
      <c r="B1" s="1" t="n"/>
      <c r="C1" s="1" t="n"/>
      <c r="D1" s="1" t="n"/>
      <c r="E1" s="1" t="n"/>
      <c r="F1" s="1" t="n"/>
    </row>
    <row r="2" ht="36" customHeight="1">
      <c r="A2" s="1" t="n"/>
      <c r="B2" s="2" t="inlineStr">
        <is>
          <t>PROTOCOLO CAUTELAR</t>
        </is>
      </c>
      <c r="F2" s="1" t="n"/>
    </row>
    <row r="3">
      <c r="A3" s="1" t="n"/>
      <c r="B3" s="3" t="inlineStr">
        <is>
          <t>O sistema do vistoriador cautelar</t>
        </is>
      </c>
      <c r="F3" s="1" t="n"/>
    </row>
    <row r="4">
      <c r="A4" s="1" t="n"/>
      <c r="B4" s="1" t="n"/>
      <c r="C4" s="1" t="n"/>
      <c r="D4" s="1" t="n"/>
      <c r="E4" s="1" t="n"/>
      <c r="F4" s="1" t="n"/>
    </row>
    <row r="5" ht="26" customHeight="1">
      <c r="A5" s="1" t="n"/>
      <c r="B5" s="4" t="inlineStr">
        <is>
          <t>Controle de Vistorias e Caixa</t>
        </is>
      </c>
      <c r="F5" s="1" t="n"/>
    </row>
    <row r="6" ht="26" customHeight="1">
      <c r="A6" s="1" t="n"/>
      <c r="F6" s="1" t="n"/>
    </row>
    <row r="7">
      <c r="A7" s="1" t="n"/>
      <c r="B7" s="1" t="n"/>
      <c r="C7" s="1" t="n"/>
      <c r="D7" s="1" t="n"/>
      <c r="E7" s="1" t="n"/>
      <c r="F7" s="1" t="n"/>
    </row>
    <row r="8" ht="5" customHeight="1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 ht="20" customHeight="1">
      <c r="A10" s="6" t="n"/>
      <c r="B10" s="7" t="inlineStr">
        <is>
          <t>[ SUA LOGO / SEU NOME AQUI ]</t>
        </is>
      </c>
      <c r="C10" s="8" t="n"/>
      <c r="D10" s="8" t="n"/>
      <c r="E10" s="8" t="n"/>
      <c r="F10" s="6" t="n"/>
    </row>
    <row r="11" ht="20" customHeight="1">
      <c r="A11" s="6" t="n"/>
      <c r="B11" s="8" t="n"/>
      <c r="C11" s="8" t="n"/>
      <c r="D11" s="8" t="n"/>
      <c r="E11" s="8" t="n"/>
      <c r="F11" s="6" t="n"/>
    </row>
    <row r="12" ht="20" customHeight="1">
      <c r="A12" s="6" t="n"/>
      <c r="B12" s="8" t="n"/>
      <c r="C12" s="8" t="n"/>
      <c r="D12" s="8" t="n"/>
      <c r="E12" s="8" t="n"/>
      <c r="F12" s="6" t="n"/>
    </row>
    <row r="13">
      <c r="A13" s="6" t="n"/>
      <c r="B13" s="6" t="n"/>
      <c r="C13" s="6" t="n"/>
      <c r="D13" s="6" t="n"/>
      <c r="E13" s="6" t="n"/>
      <c r="F13" s="6" t="n"/>
    </row>
    <row r="14">
      <c r="A14" s="6" t="n"/>
      <c r="B14" s="9" t="inlineStr">
        <is>
          <t>COMO USAR</t>
        </is>
      </c>
      <c r="C14" s="6" t="n"/>
      <c r="D14" s="6" t="n"/>
      <c r="E14" s="6" t="n"/>
      <c r="F14" s="6" t="n"/>
    </row>
    <row r="15" ht="18" customHeight="1">
      <c r="A15" s="6" t="n"/>
      <c r="B15" s="10" t="inlineStr">
        <is>
          <t>1. Cadastre suas lojas/parceiros na aba Parceiros (nome, contato, condição, comissão %).</t>
        </is>
      </c>
      <c r="F15" s="6" t="n"/>
    </row>
    <row r="16" ht="32" customHeight="1">
      <c r="A16" s="6" t="n"/>
      <c r="B16" s="10" t="inlineStr">
        <is>
          <t>2. Lance cada vistoria na aba Vistorias (uma por linha). Tipo, origem, parceiro, forma e status de pagamento são escolhidos em lista.</t>
        </is>
      </c>
      <c r="F16" s="6" t="n"/>
    </row>
    <row r="17" ht="32" customHeight="1">
      <c r="A17" s="6" t="n"/>
      <c r="B17" s="10" t="inlineStr">
        <is>
          <t>3. No Painel, escolha mês e ano: faturamento, nº de vistorias, ticket médio, origem, classificação, a receber e comissões são calculados.</t>
        </is>
      </c>
      <c r="F17" s="6" t="n"/>
    </row>
    <row r="18" ht="32" customHeight="1">
      <c r="A18" s="6" t="n"/>
      <c r="B18" s="10" t="inlineStr">
        <is>
          <t>4. As linhas de exemplo (clientes fictícios) podem ser apagadas: selecione e tecle Delete (não exclua as colunas de fórmula).</t>
        </is>
      </c>
      <c r="F18" s="6" t="n"/>
    </row>
    <row r="19">
      <c r="A19" s="6" t="n"/>
      <c r="B19" s="6" t="n"/>
      <c r="C19" s="6" t="n"/>
      <c r="D19" s="6" t="n"/>
      <c r="E19" s="6" t="n"/>
      <c r="F19" s="6" t="n"/>
    </row>
    <row r="20">
      <c r="A20" s="6" t="n"/>
      <c r="B20" s="9" t="inlineStr">
        <is>
          <t>LEGENDA DE CORES</t>
        </is>
      </c>
      <c r="C20" s="6" t="n"/>
      <c r="D20" s="6" t="n"/>
      <c r="E20" s="6" t="n"/>
      <c r="F20" s="6" t="n"/>
    </row>
    <row r="21">
      <c r="A21" s="6" t="n"/>
      <c r="B21" s="11" t="inlineStr">
        <is>
          <t>1234,00</t>
        </is>
      </c>
      <c r="C21" s="12" t="inlineStr">
        <is>
          <t>Texto AZUL (fundo azul-claro) = ENTRADA: você digita ou escolhe na lista.</t>
        </is>
      </c>
      <c r="F21" s="6" t="n"/>
    </row>
    <row r="22">
      <c r="A22" s="6" t="n"/>
      <c r="B22" s="13">
        <f>2*617</f>
        <v/>
      </c>
      <c r="C22" s="12" t="inlineStr">
        <is>
          <t>Texto PRETO = FÓRMULA: calculado automaticamente. Não digite por cima.</t>
        </is>
      </c>
      <c r="F22" s="6" t="n"/>
    </row>
    <row r="23">
      <c r="A23" s="6" t="n"/>
      <c r="B23" s="14" t="inlineStr">
        <is>
          <t>Cabeçalho</t>
        </is>
      </c>
      <c r="C23" s="12" t="inlineStr">
        <is>
          <t>Faixa escura = títulos de colunas (não editar).</t>
        </is>
      </c>
      <c r="F23" s="6" t="n"/>
    </row>
    <row r="24">
      <c r="A24" s="6" t="n"/>
      <c r="B24" s="6" t="n"/>
      <c r="C24" s="6" t="n"/>
      <c r="D24" s="6" t="n"/>
      <c r="E24" s="6" t="n"/>
      <c r="F24" s="6" t="n"/>
    </row>
    <row r="25" ht="44" customHeight="1">
      <c r="A25" s="6" t="n"/>
      <c r="B25" s="15" t="inlineStr">
        <is>
          <t>LGPD (Lei 13.709/2018): esta planilha contém dados pessoais (nome, telefone, placa). Guarde em local protegido por senha, use só para a finalidade informada ao cliente (prestação do serviço, cobrança e obrigações legais), compartilhe apenas o necessário e defina um prazo de guarda [VERIFICAR prazo com seu contador/advogado]; depois, elimine ou anonimize.</t>
        </is>
      </c>
      <c r="F25" s="6" t="n"/>
    </row>
    <row r="26">
      <c r="A26" s="6" t="n"/>
      <c r="B26" s="6" t="n"/>
      <c r="C26" s="6" t="n"/>
      <c r="D26" s="6" t="n"/>
      <c r="E26" s="6" t="n"/>
      <c r="F26" s="6" t="n"/>
    </row>
    <row r="27" ht="24" customHeight="1">
      <c r="A27" s="6" t="n"/>
      <c r="B27" s="16" t="inlineStr">
        <is>
          <t>Os valores de exemplo são fictícios. Placas de exemplo: ABC1D23 / XXX0X00. Material de apoio: não substitui norma, perícia oficial nem vistoria de transferência.</t>
        </is>
      </c>
      <c r="F27" s="6" t="n"/>
    </row>
    <row r="28">
      <c r="A28" s="6" t="n"/>
      <c r="B28" s="6" t="n"/>
      <c r="C28" s="6" t="n"/>
      <c r="D28" s="6" t="n"/>
      <c r="E28" s="6" t="n"/>
      <c r="F28" s="6" t="n"/>
    </row>
    <row r="29">
      <c r="A29" s="6" t="n"/>
      <c r="B29" s="6" t="n"/>
      <c r="C29" s="6" t="n"/>
      <c r="D29" s="6" t="n"/>
      <c r="E29" s="6" t="n"/>
      <c r="F29" s="6" t="n"/>
    </row>
    <row r="30">
      <c r="A30" s="6" t="n"/>
      <c r="B30" s="6" t="n"/>
      <c r="C30" s="6" t="n"/>
      <c r="D30" s="6" t="n"/>
      <c r="E30" s="6" t="n"/>
      <c r="F30" s="6" t="n"/>
    </row>
    <row r="31">
      <c r="A31" s="6" t="n"/>
      <c r="B31" s="6" t="n"/>
      <c r="C31" s="6" t="n"/>
      <c r="D31" s="6" t="n"/>
      <c r="E31" s="6" t="n"/>
      <c r="F31" s="6" t="n"/>
    </row>
    <row r="32">
      <c r="A32" s="6" t="n"/>
      <c r="B32" s="6" t="n"/>
      <c r="C32" s="6" t="n"/>
      <c r="D32" s="6" t="n"/>
      <c r="E32" s="6" t="n"/>
      <c r="F32" s="6" t="n"/>
    </row>
    <row r="33">
      <c r="A33" s="6" t="n"/>
      <c r="B33" s="6" t="n"/>
      <c r="C33" s="6" t="n"/>
      <c r="D33" s="6" t="n"/>
      <c r="E33" s="6" t="n"/>
      <c r="F33" s="6" t="n"/>
    </row>
    <row r="34">
      <c r="A34" s="6" t="n"/>
      <c r="B34" s="6" t="n"/>
      <c r="C34" s="6" t="n"/>
      <c r="D34" s="6" t="n"/>
      <c r="E34" s="6" t="n"/>
      <c r="F34" s="6" t="n"/>
    </row>
    <row r="35">
      <c r="A35" s="6" t="n"/>
      <c r="B35" s="6" t="n"/>
      <c r="C35" s="6" t="n"/>
      <c r="D35" s="6" t="n"/>
      <c r="E35" s="6" t="n"/>
      <c r="F35" s="6" t="n"/>
    </row>
    <row r="36">
      <c r="A36" s="6" t="n"/>
      <c r="B36" s="6" t="n"/>
      <c r="C36" s="6" t="n"/>
      <c r="D36" s="6" t="n"/>
      <c r="E36" s="6" t="n"/>
      <c r="F36" s="6" t="n"/>
    </row>
    <row r="37">
      <c r="A37" s="6" t="n"/>
      <c r="B37" s="6" t="n"/>
      <c r="C37" s="6" t="n"/>
      <c r="D37" s="6" t="n"/>
      <c r="E37" s="6" t="n"/>
      <c r="F37" s="6" t="n"/>
    </row>
    <row r="38">
      <c r="A38" s="6" t="n"/>
      <c r="B38" s="6" t="n"/>
      <c r="C38" s="6" t="n"/>
      <c r="D38" s="6" t="n"/>
      <c r="E38" s="6" t="n"/>
      <c r="F38" s="6" t="n"/>
    </row>
    <row r="39">
      <c r="A39" s="6" t="n"/>
      <c r="B39" s="6" t="n"/>
      <c r="C39" s="6" t="n"/>
      <c r="D39" s="6" t="n"/>
      <c r="E39" s="6" t="n"/>
      <c r="F39" s="6" t="n"/>
    </row>
  </sheetData>
  <mergeCells count="13">
    <mergeCell ref="B17:E17"/>
    <mergeCell ref="B18:E18"/>
    <mergeCell ref="B27:E27"/>
    <mergeCell ref="B10:E12"/>
    <mergeCell ref="C23:E23"/>
    <mergeCell ref="C22:E22"/>
    <mergeCell ref="B16:E16"/>
    <mergeCell ref="B15:E15"/>
    <mergeCell ref="B25:E25"/>
    <mergeCell ref="B3:E3"/>
    <mergeCell ref="B2:E2"/>
    <mergeCell ref="C21:E21"/>
    <mergeCell ref="B5:E6"/>
  </mergeCells>
  <printOptions horizontalCentered="1"/>
  <pageMargins left="0.4" right="0.4" top="0.5" bottom="0.5" header="0.5" footer="0.5"/>
  <pageSetup orientation="portrait" paperSize="9" fitToHeight="0" fitToWidth="1"/>
  <headerFooter>
    <oddHeader/>
    <oddFooter>&amp;L&amp;8 Protocolo Cautelar&amp;R&amp;8 Página &amp;P de 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31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4" customWidth="1" min="4" max="4"/>
    <col width="30" customWidth="1" min="5" max="5"/>
    <col width="12" customWidth="1" min="6" max="6"/>
    <col width="16" customWidth="1" min="7" max="7"/>
  </cols>
  <sheetData>
    <row r="1" ht="28" customHeight="1">
      <c r="A1" s="17" t="inlineStr">
        <is>
          <t>PROTOCOLO CAUTELAR  |  PAINEL DO MÊS</t>
        </is>
      </c>
      <c r="B1" s="1" t="n"/>
      <c r="C1" s="1" t="n"/>
      <c r="D1" s="1" t="n"/>
      <c r="E1" s="1" t="n"/>
      <c r="F1" s="1" t="n"/>
      <c r="G1" s="1" t="n"/>
    </row>
    <row r="2">
      <c r="A2" s="18" t="inlineStr">
        <is>
          <t>LGPD: o painel mostra só totais; os dados pessoais ficam na aba Vistorias — proteja o arquivo com senha.</t>
        </is>
      </c>
      <c r="E2" s="7" t="inlineStr">
        <is>
          <t>[ SUA LOGO / SEU NOME AQUI ]</t>
        </is>
      </c>
      <c r="F2" s="8" t="n"/>
      <c r="G2" s="8" t="n"/>
    </row>
    <row r="3">
      <c r="E3" s="8" t="n"/>
      <c r="F3" s="8" t="n"/>
      <c r="G3" s="8" t="n"/>
    </row>
    <row r="5">
      <c r="A5" s="19" t="inlineStr">
        <is>
          <t>Mês (1–12)</t>
        </is>
      </c>
      <c r="B5" s="20" t="n">
        <v>9</v>
      </c>
      <c r="C5" s="21">
        <f>IFERROR(CHOOSE($B$5,"janeiro","fevereiro","março","abril","maio","junho","julho","agosto","setembro","outubro","novembro","dezembro")&amp;"/"&amp;$B$6,"mês inválido")</f>
        <v/>
      </c>
    </row>
    <row r="6">
      <c r="A6" s="19" t="inlineStr">
        <is>
          <t>Ano</t>
        </is>
      </c>
      <c r="B6" s="20" t="n">
        <v>2026</v>
      </c>
      <c r="C6" s="22" t="n"/>
    </row>
    <row r="8" ht="22" customHeight="1">
      <c r="A8" s="23" t="inlineStr">
        <is>
          <t>Indicador do mês</t>
        </is>
      </c>
      <c r="B8" s="23" t="inlineStr">
        <is>
          <t>Valor</t>
        </is>
      </c>
      <c r="E8" s="23" t="inlineStr">
        <is>
          <t>Por origem</t>
        </is>
      </c>
      <c r="F8" s="23" t="inlineStr">
        <is>
          <t>Qtde</t>
        </is>
      </c>
      <c r="G8" s="23" t="inlineStr">
        <is>
          <t>Faturamento</t>
        </is>
      </c>
    </row>
    <row r="9">
      <c r="A9" s="24" t="inlineStr">
        <is>
          <t>Faturamento (exceto cancelados)</t>
        </is>
      </c>
      <c r="B9" s="25">
        <f>SUMIFS(Vistorias!$I$5:$I$504,Vistorias!$O$5:$O$504,$B$5,Vistorias!$P$5:$P$504,$B$6,Vistorias!$K$5:$K$504,"&lt;&gt;Cancelado")</f>
        <v/>
      </c>
      <c r="E9" s="24" t="inlineStr">
        <is>
          <t>Particular</t>
        </is>
      </c>
      <c r="F9" s="26">
        <f>COUNTIFS(Vistorias!$O$5:$O$504,$B$5,Vistorias!$P$5:$P$504,$B$6,Vistorias!$G$5:$G$504,"Particular",Vistorias!$K$5:$K$504,"&lt;&gt;Cancelado")</f>
        <v/>
      </c>
      <c r="G9" s="27">
        <f>SUMIFS(Vistorias!$I$5:$I$504,Vistorias!$O$5:$O$504,$B$5,Vistorias!$P$5:$P$504,$B$6,Vistorias!$G$5:$G$504,"Particular",Vistorias!$K$5:$K$504,"&lt;&gt;Cancelado")</f>
        <v/>
      </c>
    </row>
    <row r="10">
      <c r="A10" s="24" t="inlineStr">
        <is>
          <t>Nº de vistorias (exceto canceladas)</t>
        </is>
      </c>
      <c r="B10" s="28">
        <f>COUNTIFS(Vistorias!$O$5:$O$504,$B$5,Vistorias!$P$5:$P$504,$B$6,Vistorias!$K$5:$K$504,"&lt;&gt;Cancelado")</f>
        <v/>
      </c>
      <c r="E10" s="24" t="inlineStr">
        <is>
          <t>Loja</t>
        </is>
      </c>
      <c r="F10" s="26">
        <f>COUNTIFS(Vistorias!$O$5:$O$504,$B$5,Vistorias!$P$5:$P$504,$B$6,Vistorias!$G$5:$G$504,"Loja",Vistorias!$K$5:$K$504,"&lt;&gt;Cancelado")</f>
        <v/>
      </c>
      <c r="G10" s="27">
        <f>SUMIFS(Vistorias!$I$5:$I$504,Vistorias!$O$5:$O$504,$B$5,Vistorias!$P$5:$P$504,$B$6,Vistorias!$G$5:$G$504,"Loja",Vistorias!$K$5:$K$504,"&lt;&gt;Cancelado")</f>
        <v/>
      </c>
    </row>
    <row r="11">
      <c r="A11" s="24" t="inlineStr">
        <is>
          <t>Ticket médio</t>
        </is>
      </c>
      <c r="B11" s="25">
        <f>IF(B10=0,0,B9/B10)</f>
        <v/>
      </c>
      <c r="E11" s="24" t="inlineStr">
        <is>
          <t>Indicação</t>
        </is>
      </c>
      <c r="F11" s="26">
        <f>COUNTIFS(Vistorias!$O$5:$O$504,$B$5,Vistorias!$P$5:$P$504,$B$6,Vistorias!$G$5:$G$504,"Indicação",Vistorias!$K$5:$K$504,"&lt;&gt;Cancelado")</f>
        <v/>
      </c>
      <c r="G11" s="27">
        <f>SUMIFS(Vistorias!$I$5:$I$504,Vistorias!$O$5:$O$504,$B$5,Vistorias!$P$5:$P$504,$B$6,Vistorias!$G$5:$G$504,"Indicação",Vistorias!$K$5:$K$504,"&lt;&gt;Cancelado")</f>
        <v/>
      </c>
    </row>
    <row r="12">
      <c r="A12" s="24" t="inlineStr">
        <is>
          <t>Recebido (Pago)</t>
        </is>
      </c>
      <c r="B12" s="25">
        <f>SUMIFS(Vistorias!$I$5:$I$504,Vistorias!$O$5:$O$504,$B$5,Vistorias!$P$5:$P$504,$B$6,Vistorias!$K$5:$K$504,"Pago")</f>
        <v/>
      </c>
      <c r="E12" s="24" t="inlineStr">
        <is>
          <t>Anúncio</t>
        </is>
      </c>
      <c r="F12" s="26">
        <f>COUNTIFS(Vistorias!$O$5:$O$504,$B$5,Vistorias!$P$5:$P$504,$B$6,Vistorias!$G$5:$G$504,"Anúncio",Vistorias!$K$5:$K$504,"&lt;&gt;Cancelado")</f>
        <v/>
      </c>
      <c r="G12" s="27">
        <f>SUMIFS(Vistorias!$I$5:$I$504,Vistorias!$O$5:$O$504,$B$5,Vistorias!$P$5:$P$504,$B$6,Vistorias!$G$5:$G$504,"Anúncio",Vistorias!$K$5:$K$504,"&lt;&gt;Cancelado")</f>
        <v/>
      </c>
    </row>
    <row r="13">
      <c r="A13" s="24" t="inlineStr">
        <is>
          <t>A receber (Pendente)</t>
        </is>
      </c>
      <c r="B13" s="25">
        <f>SUMIFS(Vistorias!$I$5:$I$504,Vistorias!$O$5:$O$504,$B$5,Vistorias!$P$5:$P$504,$B$6,Vistorias!$K$5:$K$504,"Pendente")</f>
        <v/>
      </c>
      <c r="E13" s="24" t="inlineStr">
        <is>
          <t>(origem não informada)</t>
        </is>
      </c>
      <c r="F13" s="26">
        <f>B10-SUM(F9:F12)</f>
        <v/>
      </c>
      <c r="G13" s="27">
        <f>B9-SUM(G9:G12)</f>
        <v/>
      </c>
    </row>
    <row r="14">
      <c r="A14" s="24" t="inlineStr">
        <is>
          <t>Comissões a pagar a parceiros</t>
        </is>
      </c>
      <c r="B14" s="25">
        <f>SUMIFS(Vistorias!$N$5:$N$504,Vistorias!$O$5:$O$504,$B$5,Vistorias!$P$5:$P$504,$B$6)</f>
        <v/>
      </c>
    </row>
    <row r="15">
      <c r="A15" s="24" t="inlineStr">
        <is>
          <t>Faturamento líquido de comissões</t>
        </is>
      </c>
      <c r="B15" s="25">
        <f>B9-B14</f>
        <v/>
      </c>
    </row>
    <row r="16">
      <c r="A16" s="24" t="inlineStr">
        <is>
          <t>Cancelamentos (qtde)</t>
        </is>
      </c>
      <c r="B16" s="28">
        <f>COUNTIFS(Vistorias!$O$5:$O$504,$B$5,Vistorias!$P$5:$P$504,$B$6,Vistorias!$K$5:$K$504,"Cancelado")</f>
        <v/>
      </c>
    </row>
    <row r="19" ht="22" customHeight="1">
      <c r="A19" s="23" t="inlineStr">
        <is>
          <t>Por tipo</t>
        </is>
      </c>
      <c r="B19" s="23" t="inlineStr">
        <is>
          <t>Qtde</t>
        </is>
      </c>
      <c r="C19" s="23" t="inlineStr">
        <is>
          <t>Faturamento</t>
        </is>
      </c>
      <c r="E19" s="23" t="inlineStr">
        <is>
          <t>Por classificação</t>
        </is>
      </c>
      <c r="F19" s="23" t="inlineStr">
        <is>
          <t>Qtde</t>
        </is>
      </c>
      <c r="G19" s="23" t="inlineStr">
        <is>
          <t>% do mês</t>
        </is>
      </c>
    </row>
    <row r="20">
      <c r="A20" s="24" t="inlineStr">
        <is>
          <t>Básica</t>
        </is>
      </c>
      <c r="B20" s="26">
        <f>COUNTIFS(Vistorias!$O$5:$O$504,$B$5,Vistorias!$P$5:$P$504,$B$6,Vistorias!$F$5:$F$504,"Básica",Vistorias!$K$5:$K$504,"&lt;&gt;Cancelado")</f>
        <v/>
      </c>
      <c r="C20" s="27">
        <f>SUMIFS(Vistorias!$I$5:$I$504,Vistorias!$O$5:$O$504,$B$5,Vistorias!$P$5:$P$504,$B$6,Vistorias!$F$5:$F$504,"Básica",Vistorias!$K$5:$K$504,"&lt;&gt;Cancelado")</f>
        <v/>
      </c>
      <c r="E20" s="24" t="inlineStr">
        <is>
          <t>APROVADO</t>
        </is>
      </c>
      <c r="F20" s="26">
        <f>COUNTIFS(Vistorias!$O$5:$O$504,$B$5,Vistorias!$P$5:$P$504,$B$6,Vistorias!$L$5:$L$504,"APROVADO",Vistorias!$K$5:$K$504,"&lt;&gt;Cancelado")</f>
        <v/>
      </c>
      <c r="G20" s="29">
        <f>IF($B$10=0,0,F20/$B$10)</f>
        <v/>
      </c>
    </row>
    <row r="21">
      <c r="A21" s="24" t="inlineStr">
        <is>
          <t>Intermediária</t>
        </is>
      </c>
      <c r="B21" s="26">
        <f>COUNTIFS(Vistorias!$O$5:$O$504,$B$5,Vistorias!$P$5:$P$504,$B$6,Vistorias!$F$5:$F$504,"Intermediária",Vistorias!$K$5:$K$504,"&lt;&gt;Cancelado")</f>
        <v/>
      </c>
      <c r="C21" s="27">
        <f>SUMIFS(Vistorias!$I$5:$I$504,Vistorias!$O$5:$O$504,$B$5,Vistorias!$P$5:$P$504,$B$6,Vistorias!$F$5:$F$504,"Intermediária",Vistorias!$K$5:$K$504,"&lt;&gt;Cancelado")</f>
        <v/>
      </c>
      <c r="E21" s="24" t="inlineStr">
        <is>
          <t>APROVADO COM APONTAMENTOS</t>
        </is>
      </c>
      <c r="F21" s="26">
        <f>COUNTIFS(Vistorias!$O$5:$O$504,$B$5,Vistorias!$P$5:$P$504,$B$6,Vistorias!$L$5:$L$504,"APROVADO COM APONTAMENTOS",Vistorias!$K$5:$K$504,"&lt;&gt;Cancelado")</f>
        <v/>
      </c>
      <c r="G21" s="29">
        <f>IF($B$10=0,0,F21/$B$10)</f>
        <v/>
      </c>
    </row>
    <row r="22">
      <c r="A22" s="24" t="inlineStr">
        <is>
          <t>Completa</t>
        </is>
      </c>
      <c r="B22" s="26">
        <f>COUNTIFS(Vistorias!$O$5:$O$504,$B$5,Vistorias!$P$5:$P$504,$B$6,Vistorias!$F$5:$F$504,"Completa",Vistorias!$K$5:$K$504,"&lt;&gt;Cancelado")</f>
        <v/>
      </c>
      <c r="C22" s="27">
        <f>SUMIFS(Vistorias!$I$5:$I$504,Vistorias!$O$5:$O$504,$B$5,Vistorias!$P$5:$P$504,$B$6,Vistorias!$F$5:$F$504,"Completa",Vistorias!$K$5:$K$504,"&lt;&gt;Cancelado")</f>
        <v/>
      </c>
      <c r="E22" s="24" t="inlineStr">
        <is>
          <t>REPROVADO</t>
        </is>
      </c>
      <c r="F22" s="26">
        <f>COUNTIFS(Vistorias!$O$5:$O$504,$B$5,Vistorias!$P$5:$P$504,$B$6,Vistorias!$L$5:$L$504,"REPROVADO",Vistorias!$K$5:$K$504,"&lt;&gt;Cancelado")</f>
        <v/>
      </c>
      <c r="G22" s="29">
        <f>IF($B$10=0,0,F22/$B$10)</f>
        <v/>
      </c>
    </row>
    <row r="23">
      <c r="A23" s="24" t="inlineStr">
        <is>
          <t>Moto</t>
        </is>
      </c>
      <c r="B23" s="26">
        <f>COUNTIFS(Vistorias!$O$5:$O$504,$B$5,Vistorias!$P$5:$P$504,$B$6,Vistorias!$F$5:$F$504,"Moto",Vistorias!$K$5:$K$504,"&lt;&gt;Cancelado")</f>
        <v/>
      </c>
      <c r="C23" s="27">
        <f>SUMIFS(Vistorias!$I$5:$I$504,Vistorias!$O$5:$O$504,$B$5,Vistorias!$P$5:$P$504,$B$6,Vistorias!$F$5:$F$504,"Moto",Vistorias!$K$5:$K$504,"&lt;&gt;Cancelado")</f>
        <v/>
      </c>
      <c r="E23" s="24" t="inlineStr">
        <is>
          <t>INCONCLUSIVO</t>
        </is>
      </c>
      <c r="F23" s="26">
        <f>COUNTIFS(Vistorias!$O$5:$O$504,$B$5,Vistorias!$P$5:$P$504,$B$6,Vistorias!$L$5:$L$504,"INCONCLUSIVO",Vistorias!$K$5:$K$504,"&lt;&gt;Cancelado")</f>
        <v/>
      </c>
      <c r="G23" s="29">
        <f>IF($B$10=0,0,F23/$B$10)</f>
        <v/>
      </c>
    </row>
    <row r="24">
      <c r="A24" s="24" t="inlineStr">
        <is>
          <t>Utilitário</t>
        </is>
      </c>
      <c r="B24" s="26">
        <f>COUNTIFS(Vistorias!$O$5:$O$504,$B$5,Vistorias!$P$5:$P$504,$B$6,Vistorias!$F$5:$F$504,"Utilitário",Vistorias!$K$5:$K$504,"&lt;&gt;Cancelado")</f>
        <v/>
      </c>
      <c r="C24" s="27">
        <f>SUMIFS(Vistorias!$I$5:$I$504,Vistorias!$O$5:$O$504,$B$5,Vistorias!$P$5:$P$504,$B$6,Vistorias!$F$5:$F$504,"Utilitário",Vistorias!$K$5:$K$504,"&lt;&gt;Cancelado")</f>
        <v/>
      </c>
    </row>
    <row r="30" ht="22" customHeight="1">
      <c r="A30" s="30" t="inlineStr">
        <is>
          <t>Todas as vendas do mês selecionado entram pela data da vistoria (coluna A da aba Vistorias). Comissão considera o % do parceiro na aba Parceiros; vistorias canceladas não geram comissão nem faturamento.</t>
        </is>
      </c>
    </row>
    <row r="31" ht="22" customHeight="1"/>
  </sheetData>
  <mergeCells count="5">
    <mergeCell ref="A2:C3"/>
    <mergeCell ref="A1:G1"/>
    <mergeCell ref="A30:G31"/>
    <mergeCell ref="E2:G3"/>
    <mergeCell ref="C5:C6"/>
  </mergeCells>
  <dataValidations count="2">
    <dataValidation sqref="B5" showDropDown="0" showInputMessage="0" showErrorMessage="1" allowBlank="0" errorTitle="Valor inválido" error="Escolha um valor da lista." type="list">
      <formula1>"1,2,3,4,5,6,7,8,9,10,11,12"</formula1>
    </dataValidation>
    <dataValidation sqref="B6" showDropDown="0" showInputMessage="0" showErrorMessage="0" allowBlank="0" type="whole" operator="between">
      <formula1>2000</formula1>
      <formula2>2100</formula2>
    </dataValidation>
  </dataValidations>
  <printOptions horizontalCentered="1"/>
  <pageMargins left="0.4" right="0.4" top="0.5" bottom="0.5" header="0.5" footer="0.5"/>
  <pageSetup orientation="portrait" paperSize="9" fitToHeight="0" fitToWidth="1"/>
  <headerFooter>
    <oddHeader/>
    <oddFooter>&amp;L&amp;8 Protocolo Cautelar&amp;R&amp;8 Página &amp;P de &amp;N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5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22" customWidth="1" min="3" max="3"/>
    <col width="16" customWidth="1" min="4" max="4"/>
    <col width="10" customWidth="1" min="5" max="5"/>
    <col width="13" customWidth="1" min="6" max="6"/>
    <col width="12" customWidth="1" min="7" max="7"/>
    <col width="18" customWidth="1" min="8" max="8"/>
    <col width="12" customWidth="1" min="9" max="9"/>
    <col width="16" customWidth="1" min="10" max="10"/>
    <col width="13" customWidth="1" min="11" max="11"/>
    <col width="26" customWidth="1" min="12" max="12"/>
    <col width="11" customWidth="1" min="13" max="13"/>
    <col width="12" customWidth="1" min="14" max="14"/>
    <col width="6" customWidth="1" min="15" max="15"/>
    <col width="7" customWidth="1" min="16" max="16"/>
  </cols>
  <sheetData>
    <row r="1" ht="28" customHeight="1">
      <c r="A1" s="17" t="inlineStr">
        <is>
          <t>PROTOCOLO CAUTELAR  |  CONTROLE DE VISTORIAS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30" customHeight="1">
      <c r="A2" s="18" t="inlineStr">
        <is>
          <t>LGPD: dados pessoais (nome, telefone, placa). Guarde com segurança (arquivo com senha, acesso restrito), use só para prestar o serviço, cobrar e cumprir obrigações legais, e elimine/anonimize após o prazo de guarda definido.</t>
        </is>
      </c>
    </row>
    <row r="4" ht="30" customHeight="1">
      <c r="A4" s="23" t="inlineStr">
        <is>
          <t>Data</t>
        </is>
      </c>
      <c r="B4" s="23" t="inlineStr">
        <is>
          <t>Nº laudo</t>
        </is>
      </c>
      <c r="C4" s="23" t="inlineStr">
        <is>
          <t>Cliente</t>
        </is>
      </c>
      <c r="D4" s="23" t="inlineStr">
        <is>
          <t>Telefone</t>
        </is>
      </c>
      <c r="E4" s="23" t="inlineStr">
        <is>
          <t>Placa</t>
        </is>
      </c>
      <c r="F4" s="23" t="inlineStr">
        <is>
          <t>Tipo</t>
        </is>
      </c>
      <c r="G4" s="23" t="inlineStr">
        <is>
          <t>Origem</t>
        </is>
      </c>
      <c r="H4" s="23" t="inlineStr">
        <is>
          <t>Parceiro</t>
        </is>
      </c>
      <c r="I4" s="23" t="inlineStr">
        <is>
          <t>Valor (R$)</t>
        </is>
      </c>
      <c r="J4" s="23" t="inlineStr">
        <is>
          <t>Forma de pagamento</t>
        </is>
      </c>
      <c r="K4" s="23" t="inlineStr">
        <is>
          <t>Status pagamento</t>
        </is>
      </c>
      <c r="L4" s="23" t="inlineStr">
        <is>
          <t>Classificação</t>
        </is>
      </c>
      <c r="M4" s="31" t="inlineStr">
        <is>
          <t>Comissão %</t>
        </is>
      </c>
      <c r="N4" s="31" t="inlineStr">
        <is>
          <t>Comissão (R$)</t>
        </is>
      </c>
      <c r="O4" s="31" t="inlineStr">
        <is>
          <t>Mês</t>
        </is>
      </c>
      <c r="P4" s="31" t="inlineStr">
        <is>
          <t>Ano</t>
        </is>
      </c>
    </row>
    <row r="5">
      <c r="A5" s="32" t="n">
        <v>46267</v>
      </c>
      <c r="B5" s="33" t="inlineStr">
        <is>
          <t>2026-0001</t>
        </is>
      </c>
      <c r="C5" s="33" t="inlineStr">
        <is>
          <t>Cliente Exemplo 1</t>
        </is>
      </c>
      <c r="D5" s="33" t="inlineStr">
        <is>
          <t>(00) 00000-0001</t>
        </is>
      </c>
      <c r="E5" s="33" t="inlineStr">
        <is>
          <t>ABC1D23</t>
        </is>
      </c>
      <c r="F5" s="33" t="inlineStr">
        <is>
          <t>Completa</t>
        </is>
      </c>
      <c r="G5" s="33" t="inlineStr">
        <is>
          <t>Particular</t>
        </is>
      </c>
      <c r="H5" s="33" t="n"/>
      <c r="I5" s="34" t="n">
        <v>350</v>
      </c>
      <c r="J5" s="33" t="inlineStr">
        <is>
          <t>Pix</t>
        </is>
      </c>
      <c r="K5" s="33" t="inlineStr">
        <is>
          <t>Pago</t>
        </is>
      </c>
      <c r="L5" s="33" t="inlineStr">
        <is>
          <t>APROVADO COM APONTAMENTOS</t>
        </is>
      </c>
      <c r="M5" s="35">
        <f>IF(H5="","",IFERROR(INDEX(Parceiros!$E$5:$E$54,MATCH(H5,Parceiros!$A$5:$A$54,0)),0))</f>
        <v/>
      </c>
      <c r="N5" s="36">
        <f>IF(OR(H5="",I5="",K5="Cancelado"),0,I5*N(M5))</f>
        <v/>
      </c>
      <c r="O5" s="37">
        <f>IF(ISNUMBER(A5),MONTH(A5),"")</f>
        <v/>
      </c>
      <c r="P5" s="37">
        <f>IF(ISNUMBER(A5),YEAR(A5),"")</f>
        <v/>
      </c>
    </row>
    <row r="6">
      <c r="A6" s="32" t="n">
        <v>46268</v>
      </c>
      <c r="B6" s="33" t="inlineStr">
        <is>
          <t>2026-0002</t>
        </is>
      </c>
      <c r="C6" s="33" t="inlineStr">
        <is>
          <t>Cliente Exemplo 2</t>
        </is>
      </c>
      <c r="D6" s="33" t="inlineStr">
        <is>
          <t>(00) 00000-0002</t>
        </is>
      </c>
      <c r="E6" s="33" t="inlineStr">
        <is>
          <t>XXX0X00</t>
        </is>
      </c>
      <c r="F6" s="33" t="inlineStr">
        <is>
          <t>Básica</t>
        </is>
      </c>
      <c r="G6" s="33" t="inlineStr">
        <is>
          <t>Loja</t>
        </is>
      </c>
      <c r="H6" s="33" t="inlineStr">
        <is>
          <t>Loja Exemplo A</t>
        </is>
      </c>
      <c r="I6" s="34" t="n">
        <v>180</v>
      </c>
      <c r="J6" s="33" t="inlineStr">
        <is>
          <t>Faturado (loja)</t>
        </is>
      </c>
      <c r="K6" s="33" t="inlineStr">
        <is>
          <t>Pendente</t>
        </is>
      </c>
      <c r="L6" s="33" t="inlineStr">
        <is>
          <t>APROVADO</t>
        </is>
      </c>
      <c r="M6" s="35">
        <f>IF(H6="","",IFERROR(INDEX(Parceiros!$E$5:$E$54,MATCH(H6,Parceiros!$A$5:$A$54,0)),0))</f>
        <v/>
      </c>
      <c r="N6" s="36">
        <f>IF(OR(H6="",I6="",K6="Cancelado"),0,I6*N(M6))</f>
        <v/>
      </c>
      <c r="O6" s="37">
        <f>IF(ISNUMBER(A6),MONTH(A6),"")</f>
        <v/>
      </c>
      <c r="P6" s="37">
        <f>IF(ISNUMBER(A6),YEAR(A6),"")</f>
        <v/>
      </c>
    </row>
    <row r="7">
      <c r="A7" s="32" t="n">
        <v>46270</v>
      </c>
      <c r="B7" s="33" t="inlineStr">
        <is>
          <t>2026-0003</t>
        </is>
      </c>
      <c r="C7" s="33" t="inlineStr">
        <is>
          <t>Cliente Exemplo 3</t>
        </is>
      </c>
      <c r="D7" s="33" t="inlineStr">
        <is>
          <t>(00) 00000-0003</t>
        </is>
      </c>
      <c r="E7" s="33" t="inlineStr">
        <is>
          <t>ABC1D23</t>
        </is>
      </c>
      <c r="F7" s="33" t="inlineStr">
        <is>
          <t>Intermediária</t>
        </is>
      </c>
      <c r="G7" s="33" t="inlineStr">
        <is>
          <t>Indicação</t>
        </is>
      </c>
      <c r="H7" s="33" t="inlineStr">
        <is>
          <t>Indicador Exemplo</t>
        </is>
      </c>
      <c r="I7" s="34" t="n">
        <v>250</v>
      </c>
      <c r="J7" s="33" t="inlineStr">
        <is>
          <t>Cartão crédito</t>
        </is>
      </c>
      <c r="K7" s="33" t="inlineStr">
        <is>
          <t>Pago</t>
        </is>
      </c>
      <c r="L7" s="33" t="inlineStr">
        <is>
          <t>REPROVADO</t>
        </is>
      </c>
      <c r="M7" s="35">
        <f>IF(H7="","",IFERROR(INDEX(Parceiros!$E$5:$E$54,MATCH(H7,Parceiros!$A$5:$A$54,0)),0))</f>
        <v/>
      </c>
      <c r="N7" s="36">
        <f>IF(OR(H7="",I7="",K7="Cancelado"),0,I7*N(M7))</f>
        <v/>
      </c>
      <c r="O7" s="37">
        <f>IF(ISNUMBER(A7),MONTH(A7),"")</f>
        <v/>
      </c>
      <c r="P7" s="37">
        <f>IF(ISNUMBER(A7),YEAR(A7),"")</f>
        <v/>
      </c>
    </row>
    <row r="8">
      <c r="A8" s="32" t="n">
        <v>46274</v>
      </c>
      <c r="B8" s="33" t="inlineStr">
        <is>
          <t>2026-0004</t>
        </is>
      </c>
      <c r="C8" s="33" t="inlineStr">
        <is>
          <t>Cliente Exemplo 4</t>
        </is>
      </c>
      <c r="D8" s="33" t="inlineStr">
        <is>
          <t>(00) 00000-0004</t>
        </is>
      </c>
      <c r="E8" s="33" t="inlineStr">
        <is>
          <t>XXX0X00</t>
        </is>
      </c>
      <c r="F8" s="33" t="inlineStr">
        <is>
          <t>Moto</t>
        </is>
      </c>
      <c r="G8" s="33" t="inlineStr">
        <is>
          <t>Anúncio</t>
        </is>
      </c>
      <c r="H8" s="33" t="n"/>
      <c r="I8" s="34" t="n">
        <v>150</v>
      </c>
      <c r="J8" s="33" t="inlineStr">
        <is>
          <t>Pix</t>
        </is>
      </c>
      <c r="K8" s="33" t="inlineStr">
        <is>
          <t>Pago</t>
        </is>
      </c>
      <c r="L8" s="33" t="inlineStr">
        <is>
          <t>INCONCLUSIVO</t>
        </is>
      </c>
      <c r="M8" s="35">
        <f>IF(H8="","",IFERROR(INDEX(Parceiros!$E$5:$E$54,MATCH(H8,Parceiros!$A$5:$A$54,0)),0))</f>
        <v/>
      </c>
      <c r="N8" s="36">
        <f>IF(OR(H8="",I8="",K8="Cancelado"),0,I8*N(M8))</f>
        <v/>
      </c>
      <c r="O8" s="37">
        <f>IF(ISNUMBER(A8),MONTH(A8),"")</f>
        <v/>
      </c>
      <c r="P8" s="37">
        <f>IF(ISNUMBER(A8),YEAR(A8),"")</f>
        <v/>
      </c>
    </row>
    <row r="9">
      <c r="A9" s="32" t="n">
        <v>46296</v>
      </c>
      <c r="B9" s="33" t="inlineStr">
        <is>
          <t>2026-0005</t>
        </is>
      </c>
      <c r="C9" s="33" t="inlineStr">
        <is>
          <t>Cliente Exemplo 5</t>
        </is>
      </c>
      <c r="D9" s="33" t="inlineStr">
        <is>
          <t>(00) 00000-0005</t>
        </is>
      </c>
      <c r="E9" s="33" t="inlineStr">
        <is>
          <t>ABC1D23</t>
        </is>
      </c>
      <c r="F9" s="33" t="inlineStr">
        <is>
          <t>Completa</t>
        </is>
      </c>
      <c r="G9" s="33" t="inlineStr">
        <is>
          <t>Loja</t>
        </is>
      </c>
      <c r="H9" s="33" t="inlineStr">
        <is>
          <t>Loja Exemplo B</t>
        </is>
      </c>
      <c r="I9" s="34" t="n">
        <v>330</v>
      </c>
      <c r="J9" s="33" t="inlineStr">
        <is>
          <t>Boleto</t>
        </is>
      </c>
      <c r="K9" s="33" t="inlineStr">
        <is>
          <t>Pendente</t>
        </is>
      </c>
      <c r="L9" s="33" t="inlineStr">
        <is>
          <t>APROVADO</t>
        </is>
      </c>
      <c r="M9" s="35">
        <f>IF(H9="","",IFERROR(INDEX(Parceiros!$E$5:$E$54,MATCH(H9,Parceiros!$A$5:$A$54,0)),0))</f>
        <v/>
      </c>
      <c r="N9" s="36">
        <f>IF(OR(H9="",I9="",K9="Cancelado"),0,I9*N(M9))</f>
        <v/>
      </c>
      <c r="O9" s="37">
        <f>IF(ISNUMBER(A9),MONTH(A9),"")</f>
        <v/>
      </c>
      <c r="P9" s="37">
        <f>IF(ISNUMBER(A9),YEAR(A9),"")</f>
        <v/>
      </c>
    </row>
    <row r="10">
      <c r="A10" s="32" t="n"/>
      <c r="B10" s="33" t="n"/>
      <c r="C10" s="33" t="n"/>
      <c r="D10" s="33" t="n"/>
      <c r="E10" s="33" t="n"/>
      <c r="F10" s="33" t="n"/>
      <c r="G10" s="33" t="n"/>
      <c r="H10" s="33" t="n"/>
      <c r="I10" s="34" t="n"/>
      <c r="J10" s="33" t="n"/>
      <c r="K10" s="33" t="n"/>
      <c r="L10" s="33" t="n"/>
      <c r="M10" s="35">
        <f>IF(H10="","",IFERROR(INDEX(Parceiros!$E$5:$E$54,MATCH(H10,Parceiros!$A$5:$A$54,0)),0))</f>
        <v/>
      </c>
      <c r="N10" s="36">
        <f>IF(OR(H10="",I10="",K10="Cancelado"),0,I10*N(M10))</f>
        <v/>
      </c>
      <c r="O10" s="37">
        <f>IF(ISNUMBER(A10),MONTH(A10),"")</f>
        <v/>
      </c>
      <c r="P10" s="37">
        <f>IF(ISNUMBER(A10),YEAR(A10),"")</f>
        <v/>
      </c>
    </row>
    <row r="11">
      <c r="A11" s="32" t="n"/>
      <c r="B11" s="33" t="n"/>
      <c r="C11" s="33" t="n"/>
      <c r="D11" s="33" t="n"/>
      <c r="E11" s="33" t="n"/>
      <c r="F11" s="33" t="n"/>
      <c r="G11" s="33" t="n"/>
      <c r="H11" s="33" t="n"/>
      <c r="I11" s="34" t="n"/>
      <c r="J11" s="33" t="n"/>
      <c r="K11" s="33" t="n"/>
      <c r="L11" s="33" t="n"/>
      <c r="M11" s="35">
        <f>IF(H11="","",IFERROR(INDEX(Parceiros!$E$5:$E$54,MATCH(H11,Parceiros!$A$5:$A$54,0)),0))</f>
        <v/>
      </c>
      <c r="N11" s="36">
        <f>IF(OR(H11="",I11="",K11="Cancelado"),0,I11*N(M11))</f>
        <v/>
      </c>
      <c r="O11" s="37">
        <f>IF(ISNUMBER(A11),MONTH(A11),"")</f>
        <v/>
      </c>
      <c r="P11" s="37">
        <f>IF(ISNUMBER(A11),YEAR(A11),"")</f>
        <v/>
      </c>
    </row>
    <row r="12">
      <c r="A12" s="32" t="n"/>
      <c r="B12" s="33" t="n"/>
      <c r="C12" s="33" t="n"/>
      <c r="D12" s="33" t="n"/>
      <c r="E12" s="33" t="n"/>
      <c r="F12" s="33" t="n"/>
      <c r="G12" s="33" t="n"/>
      <c r="H12" s="33" t="n"/>
      <c r="I12" s="34" t="n"/>
      <c r="J12" s="33" t="n"/>
      <c r="K12" s="33" t="n"/>
      <c r="L12" s="33" t="n"/>
      <c r="M12" s="35">
        <f>IF(H12="","",IFERROR(INDEX(Parceiros!$E$5:$E$54,MATCH(H12,Parceiros!$A$5:$A$54,0)),0))</f>
        <v/>
      </c>
      <c r="N12" s="36">
        <f>IF(OR(H12="",I12="",K12="Cancelado"),0,I12*N(M12))</f>
        <v/>
      </c>
      <c r="O12" s="37">
        <f>IF(ISNUMBER(A12),MONTH(A12),"")</f>
        <v/>
      </c>
      <c r="P12" s="37">
        <f>IF(ISNUMBER(A12),YEAR(A12),"")</f>
        <v/>
      </c>
    </row>
    <row r="13">
      <c r="A13" s="32" t="n"/>
      <c r="B13" s="33" t="n"/>
      <c r="C13" s="33" t="n"/>
      <c r="D13" s="33" t="n"/>
      <c r="E13" s="33" t="n"/>
      <c r="F13" s="33" t="n"/>
      <c r="G13" s="33" t="n"/>
      <c r="H13" s="33" t="n"/>
      <c r="I13" s="34" t="n"/>
      <c r="J13" s="33" t="n"/>
      <c r="K13" s="33" t="n"/>
      <c r="L13" s="33" t="n"/>
      <c r="M13" s="35">
        <f>IF(H13="","",IFERROR(INDEX(Parceiros!$E$5:$E$54,MATCH(H13,Parceiros!$A$5:$A$54,0)),0))</f>
        <v/>
      </c>
      <c r="N13" s="36">
        <f>IF(OR(H13="",I13="",K13="Cancelado"),0,I13*N(M13))</f>
        <v/>
      </c>
      <c r="O13" s="37">
        <f>IF(ISNUMBER(A13),MONTH(A13),"")</f>
        <v/>
      </c>
      <c r="P13" s="37">
        <f>IF(ISNUMBER(A13),YEAR(A13),"")</f>
        <v/>
      </c>
    </row>
    <row r="14">
      <c r="A14" s="32" t="n"/>
      <c r="B14" s="33" t="n"/>
      <c r="C14" s="33" t="n"/>
      <c r="D14" s="33" t="n"/>
      <c r="E14" s="33" t="n"/>
      <c r="F14" s="33" t="n"/>
      <c r="G14" s="33" t="n"/>
      <c r="H14" s="33" t="n"/>
      <c r="I14" s="34" t="n"/>
      <c r="J14" s="33" t="n"/>
      <c r="K14" s="33" t="n"/>
      <c r="L14" s="33" t="n"/>
      <c r="M14" s="35">
        <f>IF(H14="","",IFERROR(INDEX(Parceiros!$E$5:$E$54,MATCH(H14,Parceiros!$A$5:$A$54,0)),0))</f>
        <v/>
      </c>
      <c r="N14" s="36">
        <f>IF(OR(H14="",I14="",K14="Cancelado"),0,I14*N(M14))</f>
        <v/>
      </c>
      <c r="O14" s="37">
        <f>IF(ISNUMBER(A14),MONTH(A14),"")</f>
        <v/>
      </c>
      <c r="P14" s="37">
        <f>IF(ISNUMBER(A14),YEAR(A14),"")</f>
        <v/>
      </c>
    </row>
    <row r="15">
      <c r="A15" s="32" t="n"/>
      <c r="B15" s="33" t="n"/>
      <c r="C15" s="33" t="n"/>
      <c r="D15" s="33" t="n"/>
      <c r="E15" s="33" t="n"/>
      <c r="F15" s="33" t="n"/>
      <c r="G15" s="33" t="n"/>
      <c r="H15" s="33" t="n"/>
      <c r="I15" s="34" t="n"/>
      <c r="J15" s="33" t="n"/>
      <c r="K15" s="33" t="n"/>
      <c r="L15" s="33" t="n"/>
      <c r="M15" s="35">
        <f>IF(H15="","",IFERROR(INDEX(Parceiros!$E$5:$E$54,MATCH(H15,Parceiros!$A$5:$A$54,0)),0))</f>
        <v/>
      </c>
      <c r="N15" s="36">
        <f>IF(OR(H15="",I15="",K15="Cancelado"),0,I15*N(M15))</f>
        <v/>
      </c>
      <c r="O15" s="37">
        <f>IF(ISNUMBER(A15),MONTH(A15),"")</f>
        <v/>
      </c>
      <c r="P15" s="37">
        <f>IF(ISNUMBER(A15),YEAR(A15),"")</f>
        <v/>
      </c>
    </row>
    <row r="16">
      <c r="A16" s="32" t="n"/>
      <c r="B16" s="33" t="n"/>
      <c r="C16" s="33" t="n"/>
      <c r="D16" s="33" t="n"/>
      <c r="E16" s="33" t="n"/>
      <c r="F16" s="33" t="n"/>
      <c r="G16" s="33" t="n"/>
      <c r="H16" s="33" t="n"/>
      <c r="I16" s="34" t="n"/>
      <c r="J16" s="33" t="n"/>
      <c r="K16" s="33" t="n"/>
      <c r="L16" s="33" t="n"/>
      <c r="M16" s="35">
        <f>IF(H16="","",IFERROR(INDEX(Parceiros!$E$5:$E$54,MATCH(H16,Parceiros!$A$5:$A$54,0)),0))</f>
        <v/>
      </c>
      <c r="N16" s="36">
        <f>IF(OR(H16="",I16="",K16="Cancelado"),0,I16*N(M16))</f>
        <v/>
      </c>
      <c r="O16" s="37">
        <f>IF(ISNUMBER(A16),MONTH(A16),"")</f>
        <v/>
      </c>
      <c r="P16" s="37">
        <f>IF(ISNUMBER(A16),YEAR(A16),"")</f>
        <v/>
      </c>
    </row>
    <row r="17">
      <c r="A17" s="32" t="n"/>
      <c r="B17" s="33" t="n"/>
      <c r="C17" s="33" t="n"/>
      <c r="D17" s="33" t="n"/>
      <c r="E17" s="33" t="n"/>
      <c r="F17" s="33" t="n"/>
      <c r="G17" s="33" t="n"/>
      <c r="H17" s="33" t="n"/>
      <c r="I17" s="34" t="n"/>
      <c r="J17" s="33" t="n"/>
      <c r="K17" s="33" t="n"/>
      <c r="L17" s="33" t="n"/>
      <c r="M17" s="35">
        <f>IF(H17="","",IFERROR(INDEX(Parceiros!$E$5:$E$54,MATCH(H17,Parceiros!$A$5:$A$54,0)),0))</f>
        <v/>
      </c>
      <c r="N17" s="36">
        <f>IF(OR(H17="",I17="",K17="Cancelado"),0,I17*N(M17))</f>
        <v/>
      </c>
      <c r="O17" s="37">
        <f>IF(ISNUMBER(A17),MONTH(A17),"")</f>
        <v/>
      </c>
      <c r="P17" s="37">
        <f>IF(ISNUMBER(A17),YEAR(A17),"")</f>
        <v/>
      </c>
    </row>
    <row r="18">
      <c r="A18" s="32" t="n"/>
      <c r="B18" s="33" t="n"/>
      <c r="C18" s="33" t="n"/>
      <c r="D18" s="33" t="n"/>
      <c r="E18" s="33" t="n"/>
      <c r="F18" s="33" t="n"/>
      <c r="G18" s="33" t="n"/>
      <c r="H18" s="33" t="n"/>
      <c r="I18" s="34" t="n"/>
      <c r="J18" s="33" t="n"/>
      <c r="K18" s="33" t="n"/>
      <c r="L18" s="33" t="n"/>
      <c r="M18" s="35">
        <f>IF(H18="","",IFERROR(INDEX(Parceiros!$E$5:$E$54,MATCH(H18,Parceiros!$A$5:$A$54,0)),0))</f>
        <v/>
      </c>
      <c r="N18" s="36">
        <f>IF(OR(H18="",I18="",K18="Cancelado"),0,I18*N(M18))</f>
        <v/>
      </c>
      <c r="O18" s="37">
        <f>IF(ISNUMBER(A18),MONTH(A18),"")</f>
        <v/>
      </c>
      <c r="P18" s="37">
        <f>IF(ISNUMBER(A18),YEAR(A18),"")</f>
        <v/>
      </c>
    </row>
    <row r="19">
      <c r="A19" s="32" t="n"/>
      <c r="B19" s="33" t="n"/>
      <c r="C19" s="33" t="n"/>
      <c r="D19" s="33" t="n"/>
      <c r="E19" s="33" t="n"/>
      <c r="F19" s="33" t="n"/>
      <c r="G19" s="33" t="n"/>
      <c r="H19" s="33" t="n"/>
      <c r="I19" s="34" t="n"/>
      <c r="J19" s="33" t="n"/>
      <c r="K19" s="33" t="n"/>
      <c r="L19" s="33" t="n"/>
      <c r="M19" s="35">
        <f>IF(H19="","",IFERROR(INDEX(Parceiros!$E$5:$E$54,MATCH(H19,Parceiros!$A$5:$A$54,0)),0))</f>
        <v/>
      </c>
      <c r="N19" s="36">
        <f>IF(OR(H19="",I19="",K19="Cancelado"),0,I19*N(M19))</f>
        <v/>
      </c>
      <c r="O19" s="37">
        <f>IF(ISNUMBER(A19),MONTH(A19),"")</f>
        <v/>
      </c>
      <c r="P19" s="37">
        <f>IF(ISNUMBER(A19),YEAR(A19),"")</f>
        <v/>
      </c>
    </row>
    <row r="20">
      <c r="A20" s="32" t="n"/>
      <c r="B20" s="33" t="n"/>
      <c r="C20" s="33" t="n"/>
      <c r="D20" s="33" t="n"/>
      <c r="E20" s="33" t="n"/>
      <c r="F20" s="33" t="n"/>
      <c r="G20" s="33" t="n"/>
      <c r="H20" s="33" t="n"/>
      <c r="I20" s="34" t="n"/>
      <c r="J20" s="33" t="n"/>
      <c r="K20" s="33" t="n"/>
      <c r="L20" s="33" t="n"/>
      <c r="M20" s="35">
        <f>IF(H20="","",IFERROR(INDEX(Parceiros!$E$5:$E$54,MATCH(H20,Parceiros!$A$5:$A$54,0)),0))</f>
        <v/>
      </c>
      <c r="N20" s="36">
        <f>IF(OR(H20="",I20="",K20="Cancelado"),0,I20*N(M20))</f>
        <v/>
      </c>
      <c r="O20" s="37">
        <f>IF(ISNUMBER(A20),MONTH(A20),"")</f>
        <v/>
      </c>
      <c r="P20" s="37">
        <f>IF(ISNUMBER(A20),YEAR(A20),"")</f>
        <v/>
      </c>
    </row>
    <row r="21">
      <c r="A21" s="32" t="n"/>
      <c r="B21" s="33" t="n"/>
      <c r="C21" s="33" t="n"/>
      <c r="D21" s="33" t="n"/>
      <c r="E21" s="33" t="n"/>
      <c r="F21" s="33" t="n"/>
      <c r="G21" s="33" t="n"/>
      <c r="H21" s="33" t="n"/>
      <c r="I21" s="34" t="n"/>
      <c r="J21" s="33" t="n"/>
      <c r="K21" s="33" t="n"/>
      <c r="L21" s="33" t="n"/>
      <c r="M21" s="35">
        <f>IF(H21="","",IFERROR(INDEX(Parceiros!$E$5:$E$54,MATCH(H21,Parceiros!$A$5:$A$54,0)),0))</f>
        <v/>
      </c>
      <c r="N21" s="36">
        <f>IF(OR(H21="",I21="",K21="Cancelado"),0,I21*N(M21))</f>
        <v/>
      </c>
      <c r="O21" s="37">
        <f>IF(ISNUMBER(A21),MONTH(A21),"")</f>
        <v/>
      </c>
      <c r="P21" s="37">
        <f>IF(ISNUMBER(A21),YEAR(A21),"")</f>
        <v/>
      </c>
    </row>
    <row r="22">
      <c r="A22" s="32" t="n"/>
      <c r="B22" s="33" t="n"/>
      <c r="C22" s="33" t="n"/>
      <c r="D22" s="33" t="n"/>
      <c r="E22" s="33" t="n"/>
      <c r="F22" s="33" t="n"/>
      <c r="G22" s="33" t="n"/>
      <c r="H22" s="33" t="n"/>
      <c r="I22" s="34" t="n"/>
      <c r="J22" s="33" t="n"/>
      <c r="K22" s="33" t="n"/>
      <c r="L22" s="33" t="n"/>
      <c r="M22" s="35">
        <f>IF(H22="","",IFERROR(INDEX(Parceiros!$E$5:$E$54,MATCH(H22,Parceiros!$A$5:$A$54,0)),0))</f>
        <v/>
      </c>
      <c r="N22" s="36">
        <f>IF(OR(H22="",I22="",K22="Cancelado"),0,I22*N(M22))</f>
        <v/>
      </c>
      <c r="O22" s="37">
        <f>IF(ISNUMBER(A22),MONTH(A22),"")</f>
        <v/>
      </c>
      <c r="P22" s="37">
        <f>IF(ISNUMBER(A22),YEAR(A22),"")</f>
        <v/>
      </c>
    </row>
    <row r="23">
      <c r="A23" s="32" t="n"/>
      <c r="B23" s="33" t="n"/>
      <c r="C23" s="33" t="n"/>
      <c r="D23" s="33" t="n"/>
      <c r="E23" s="33" t="n"/>
      <c r="F23" s="33" t="n"/>
      <c r="G23" s="33" t="n"/>
      <c r="H23" s="33" t="n"/>
      <c r="I23" s="34" t="n"/>
      <c r="J23" s="33" t="n"/>
      <c r="K23" s="33" t="n"/>
      <c r="L23" s="33" t="n"/>
      <c r="M23" s="35">
        <f>IF(H23="","",IFERROR(INDEX(Parceiros!$E$5:$E$54,MATCH(H23,Parceiros!$A$5:$A$54,0)),0))</f>
        <v/>
      </c>
      <c r="N23" s="36">
        <f>IF(OR(H23="",I23="",K23="Cancelado"),0,I23*N(M23))</f>
        <v/>
      </c>
      <c r="O23" s="37">
        <f>IF(ISNUMBER(A23),MONTH(A23),"")</f>
        <v/>
      </c>
      <c r="P23" s="37">
        <f>IF(ISNUMBER(A23),YEAR(A23),"")</f>
        <v/>
      </c>
    </row>
    <row r="24">
      <c r="A24" s="32" t="n"/>
      <c r="B24" s="33" t="n"/>
      <c r="C24" s="33" t="n"/>
      <c r="D24" s="33" t="n"/>
      <c r="E24" s="33" t="n"/>
      <c r="F24" s="33" t="n"/>
      <c r="G24" s="33" t="n"/>
      <c r="H24" s="33" t="n"/>
      <c r="I24" s="34" t="n"/>
      <c r="J24" s="33" t="n"/>
      <c r="K24" s="33" t="n"/>
      <c r="L24" s="33" t="n"/>
      <c r="M24" s="35">
        <f>IF(H24="","",IFERROR(INDEX(Parceiros!$E$5:$E$54,MATCH(H24,Parceiros!$A$5:$A$54,0)),0))</f>
        <v/>
      </c>
      <c r="N24" s="36">
        <f>IF(OR(H24="",I24="",K24="Cancelado"),0,I24*N(M24))</f>
        <v/>
      </c>
      <c r="O24" s="37">
        <f>IF(ISNUMBER(A24),MONTH(A24),"")</f>
        <v/>
      </c>
      <c r="P24" s="37">
        <f>IF(ISNUMBER(A24),YEAR(A24),"")</f>
        <v/>
      </c>
    </row>
    <row r="25">
      <c r="A25" s="32" t="n"/>
      <c r="B25" s="33" t="n"/>
      <c r="C25" s="33" t="n"/>
      <c r="D25" s="33" t="n"/>
      <c r="E25" s="33" t="n"/>
      <c r="F25" s="33" t="n"/>
      <c r="G25" s="33" t="n"/>
      <c r="H25" s="33" t="n"/>
      <c r="I25" s="34" t="n"/>
      <c r="J25" s="33" t="n"/>
      <c r="K25" s="33" t="n"/>
      <c r="L25" s="33" t="n"/>
      <c r="M25" s="35">
        <f>IF(H25="","",IFERROR(INDEX(Parceiros!$E$5:$E$54,MATCH(H25,Parceiros!$A$5:$A$54,0)),0))</f>
        <v/>
      </c>
      <c r="N25" s="36">
        <f>IF(OR(H25="",I25="",K25="Cancelado"),0,I25*N(M25))</f>
        <v/>
      </c>
      <c r="O25" s="37">
        <f>IF(ISNUMBER(A25),MONTH(A25),"")</f>
        <v/>
      </c>
      <c r="P25" s="37">
        <f>IF(ISNUMBER(A25),YEAR(A25),"")</f>
        <v/>
      </c>
    </row>
    <row r="26">
      <c r="A26" s="32" t="n"/>
      <c r="B26" s="33" t="n"/>
      <c r="C26" s="33" t="n"/>
      <c r="D26" s="33" t="n"/>
      <c r="E26" s="33" t="n"/>
      <c r="F26" s="33" t="n"/>
      <c r="G26" s="33" t="n"/>
      <c r="H26" s="33" t="n"/>
      <c r="I26" s="34" t="n"/>
      <c r="J26" s="33" t="n"/>
      <c r="K26" s="33" t="n"/>
      <c r="L26" s="33" t="n"/>
      <c r="M26" s="35">
        <f>IF(H26="","",IFERROR(INDEX(Parceiros!$E$5:$E$54,MATCH(H26,Parceiros!$A$5:$A$54,0)),0))</f>
        <v/>
      </c>
      <c r="N26" s="36">
        <f>IF(OR(H26="",I26="",K26="Cancelado"),0,I26*N(M26))</f>
        <v/>
      </c>
      <c r="O26" s="37">
        <f>IF(ISNUMBER(A26),MONTH(A26),"")</f>
        <v/>
      </c>
      <c r="P26" s="37">
        <f>IF(ISNUMBER(A26),YEAR(A26),"")</f>
        <v/>
      </c>
    </row>
    <row r="27">
      <c r="A27" s="32" t="n"/>
      <c r="B27" s="33" t="n"/>
      <c r="C27" s="33" t="n"/>
      <c r="D27" s="33" t="n"/>
      <c r="E27" s="33" t="n"/>
      <c r="F27" s="33" t="n"/>
      <c r="G27" s="33" t="n"/>
      <c r="H27" s="33" t="n"/>
      <c r="I27" s="34" t="n"/>
      <c r="J27" s="33" t="n"/>
      <c r="K27" s="33" t="n"/>
      <c r="L27" s="33" t="n"/>
      <c r="M27" s="35">
        <f>IF(H27="","",IFERROR(INDEX(Parceiros!$E$5:$E$54,MATCH(H27,Parceiros!$A$5:$A$54,0)),0))</f>
        <v/>
      </c>
      <c r="N27" s="36">
        <f>IF(OR(H27="",I27="",K27="Cancelado"),0,I27*N(M27))</f>
        <v/>
      </c>
      <c r="O27" s="37">
        <f>IF(ISNUMBER(A27),MONTH(A27),"")</f>
        <v/>
      </c>
      <c r="P27" s="37">
        <f>IF(ISNUMBER(A27),YEAR(A27),"")</f>
        <v/>
      </c>
    </row>
    <row r="28">
      <c r="A28" s="32" t="n"/>
      <c r="B28" s="33" t="n"/>
      <c r="C28" s="33" t="n"/>
      <c r="D28" s="33" t="n"/>
      <c r="E28" s="33" t="n"/>
      <c r="F28" s="33" t="n"/>
      <c r="G28" s="33" t="n"/>
      <c r="H28" s="33" t="n"/>
      <c r="I28" s="34" t="n"/>
      <c r="J28" s="33" t="n"/>
      <c r="K28" s="33" t="n"/>
      <c r="L28" s="33" t="n"/>
      <c r="M28" s="35">
        <f>IF(H28="","",IFERROR(INDEX(Parceiros!$E$5:$E$54,MATCH(H28,Parceiros!$A$5:$A$54,0)),0))</f>
        <v/>
      </c>
      <c r="N28" s="36">
        <f>IF(OR(H28="",I28="",K28="Cancelado"),0,I28*N(M28))</f>
        <v/>
      </c>
      <c r="O28" s="37">
        <f>IF(ISNUMBER(A28),MONTH(A28),"")</f>
        <v/>
      </c>
      <c r="P28" s="37">
        <f>IF(ISNUMBER(A28),YEAR(A28),"")</f>
        <v/>
      </c>
    </row>
    <row r="29">
      <c r="A29" s="32" t="n"/>
      <c r="B29" s="33" t="n"/>
      <c r="C29" s="33" t="n"/>
      <c r="D29" s="33" t="n"/>
      <c r="E29" s="33" t="n"/>
      <c r="F29" s="33" t="n"/>
      <c r="G29" s="33" t="n"/>
      <c r="H29" s="33" t="n"/>
      <c r="I29" s="34" t="n"/>
      <c r="J29" s="33" t="n"/>
      <c r="K29" s="33" t="n"/>
      <c r="L29" s="33" t="n"/>
      <c r="M29" s="35">
        <f>IF(H29="","",IFERROR(INDEX(Parceiros!$E$5:$E$54,MATCH(H29,Parceiros!$A$5:$A$54,0)),0))</f>
        <v/>
      </c>
      <c r="N29" s="36">
        <f>IF(OR(H29="",I29="",K29="Cancelado"),0,I29*N(M29))</f>
        <v/>
      </c>
      <c r="O29" s="37">
        <f>IF(ISNUMBER(A29),MONTH(A29),"")</f>
        <v/>
      </c>
      <c r="P29" s="37">
        <f>IF(ISNUMBER(A29),YEAR(A29),"")</f>
        <v/>
      </c>
    </row>
    <row r="30">
      <c r="A30" s="32" t="n"/>
      <c r="B30" s="33" t="n"/>
      <c r="C30" s="33" t="n"/>
      <c r="D30" s="33" t="n"/>
      <c r="E30" s="33" t="n"/>
      <c r="F30" s="33" t="n"/>
      <c r="G30" s="33" t="n"/>
      <c r="H30" s="33" t="n"/>
      <c r="I30" s="34" t="n"/>
      <c r="J30" s="33" t="n"/>
      <c r="K30" s="33" t="n"/>
      <c r="L30" s="33" t="n"/>
      <c r="M30" s="35">
        <f>IF(H30="","",IFERROR(INDEX(Parceiros!$E$5:$E$54,MATCH(H30,Parceiros!$A$5:$A$54,0)),0))</f>
        <v/>
      </c>
      <c r="N30" s="36">
        <f>IF(OR(H30="",I30="",K30="Cancelado"),0,I30*N(M30))</f>
        <v/>
      </c>
      <c r="O30" s="37">
        <f>IF(ISNUMBER(A30),MONTH(A30),"")</f>
        <v/>
      </c>
      <c r="P30" s="37">
        <f>IF(ISNUMBER(A30),YEAR(A30),"")</f>
        <v/>
      </c>
    </row>
    <row r="31">
      <c r="A31" s="32" t="n"/>
      <c r="B31" s="33" t="n"/>
      <c r="C31" s="33" t="n"/>
      <c r="D31" s="33" t="n"/>
      <c r="E31" s="33" t="n"/>
      <c r="F31" s="33" t="n"/>
      <c r="G31" s="33" t="n"/>
      <c r="H31" s="33" t="n"/>
      <c r="I31" s="34" t="n"/>
      <c r="J31" s="33" t="n"/>
      <c r="K31" s="33" t="n"/>
      <c r="L31" s="33" t="n"/>
      <c r="M31" s="35">
        <f>IF(H31="","",IFERROR(INDEX(Parceiros!$E$5:$E$54,MATCH(H31,Parceiros!$A$5:$A$54,0)),0))</f>
        <v/>
      </c>
      <c r="N31" s="36">
        <f>IF(OR(H31="",I31="",K31="Cancelado"),0,I31*N(M31))</f>
        <v/>
      </c>
      <c r="O31" s="37">
        <f>IF(ISNUMBER(A31),MONTH(A31),"")</f>
        <v/>
      </c>
      <c r="P31" s="37">
        <f>IF(ISNUMBER(A31),YEAR(A31),"")</f>
        <v/>
      </c>
    </row>
    <row r="32">
      <c r="A32" s="32" t="n"/>
      <c r="B32" s="33" t="n"/>
      <c r="C32" s="33" t="n"/>
      <c r="D32" s="33" t="n"/>
      <c r="E32" s="33" t="n"/>
      <c r="F32" s="33" t="n"/>
      <c r="G32" s="33" t="n"/>
      <c r="H32" s="33" t="n"/>
      <c r="I32" s="34" t="n"/>
      <c r="J32" s="33" t="n"/>
      <c r="K32" s="33" t="n"/>
      <c r="L32" s="33" t="n"/>
      <c r="M32" s="35">
        <f>IF(H32="","",IFERROR(INDEX(Parceiros!$E$5:$E$54,MATCH(H32,Parceiros!$A$5:$A$54,0)),0))</f>
        <v/>
      </c>
      <c r="N32" s="36">
        <f>IF(OR(H32="",I32="",K32="Cancelado"),0,I32*N(M32))</f>
        <v/>
      </c>
      <c r="O32" s="37">
        <f>IF(ISNUMBER(A32),MONTH(A32),"")</f>
        <v/>
      </c>
      <c r="P32" s="37">
        <f>IF(ISNUMBER(A32),YEAR(A32),"")</f>
        <v/>
      </c>
    </row>
    <row r="33">
      <c r="A33" s="32" t="n"/>
      <c r="B33" s="33" t="n"/>
      <c r="C33" s="33" t="n"/>
      <c r="D33" s="33" t="n"/>
      <c r="E33" s="33" t="n"/>
      <c r="F33" s="33" t="n"/>
      <c r="G33" s="33" t="n"/>
      <c r="H33" s="33" t="n"/>
      <c r="I33" s="34" t="n"/>
      <c r="J33" s="33" t="n"/>
      <c r="K33" s="33" t="n"/>
      <c r="L33" s="33" t="n"/>
      <c r="M33" s="35">
        <f>IF(H33="","",IFERROR(INDEX(Parceiros!$E$5:$E$54,MATCH(H33,Parceiros!$A$5:$A$54,0)),0))</f>
        <v/>
      </c>
      <c r="N33" s="36">
        <f>IF(OR(H33="",I33="",K33="Cancelado"),0,I33*N(M33))</f>
        <v/>
      </c>
      <c r="O33" s="37">
        <f>IF(ISNUMBER(A33),MONTH(A33),"")</f>
        <v/>
      </c>
      <c r="P33" s="37">
        <f>IF(ISNUMBER(A33),YEAR(A33),"")</f>
        <v/>
      </c>
    </row>
    <row r="34">
      <c r="A34" s="32" t="n"/>
      <c r="B34" s="33" t="n"/>
      <c r="C34" s="33" t="n"/>
      <c r="D34" s="33" t="n"/>
      <c r="E34" s="33" t="n"/>
      <c r="F34" s="33" t="n"/>
      <c r="G34" s="33" t="n"/>
      <c r="H34" s="33" t="n"/>
      <c r="I34" s="34" t="n"/>
      <c r="J34" s="33" t="n"/>
      <c r="K34" s="33" t="n"/>
      <c r="L34" s="33" t="n"/>
      <c r="M34" s="35">
        <f>IF(H34="","",IFERROR(INDEX(Parceiros!$E$5:$E$54,MATCH(H34,Parceiros!$A$5:$A$54,0)),0))</f>
        <v/>
      </c>
      <c r="N34" s="36">
        <f>IF(OR(H34="",I34="",K34="Cancelado"),0,I34*N(M34))</f>
        <v/>
      </c>
      <c r="O34" s="37">
        <f>IF(ISNUMBER(A34),MONTH(A34),"")</f>
        <v/>
      </c>
      <c r="P34" s="37">
        <f>IF(ISNUMBER(A34),YEAR(A34),"")</f>
        <v/>
      </c>
    </row>
    <row r="35">
      <c r="A35" s="32" t="n"/>
      <c r="B35" s="33" t="n"/>
      <c r="C35" s="33" t="n"/>
      <c r="D35" s="33" t="n"/>
      <c r="E35" s="33" t="n"/>
      <c r="F35" s="33" t="n"/>
      <c r="G35" s="33" t="n"/>
      <c r="H35" s="33" t="n"/>
      <c r="I35" s="34" t="n"/>
      <c r="J35" s="33" t="n"/>
      <c r="K35" s="33" t="n"/>
      <c r="L35" s="33" t="n"/>
      <c r="M35" s="35">
        <f>IF(H35="","",IFERROR(INDEX(Parceiros!$E$5:$E$54,MATCH(H35,Parceiros!$A$5:$A$54,0)),0))</f>
        <v/>
      </c>
      <c r="N35" s="36">
        <f>IF(OR(H35="",I35="",K35="Cancelado"),0,I35*N(M35))</f>
        <v/>
      </c>
      <c r="O35" s="37">
        <f>IF(ISNUMBER(A35),MONTH(A35),"")</f>
        <v/>
      </c>
      <c r="P35" s="37">
        <f>IF(ISNUMBER(A35),YEAR(A35),"")</f>
        <v/>
      </c>
    </row>
    <row r="36">
      <c r="A36" s="32" t="n"/>
      <c r="B36" s="33" t="n"/>
      <c r="C36" s="33" t="n"/>
      <c r="D36" s="33" t="n"/>
      <c r="E36" s="33" t="n"/>
      <c r="F36" s="33" t="n"/>
      <c r="G36" s="33" t="n"/>
      <c r="H36" s="33" t="n"/>
      <c r="I36" s="34" t="n"/>
      <c r="J36" s="33" t="n"/>
      <c r="K36" s="33" t="n"/>
      <c r="L36" s="33" t="n"/>
      <c r="M36" s="35">
        <f>IF(H36="","",IFERROR(INDEX(Parceiros!$E$5:$E$54,MATCH(H36,Parceiros!$A$5:$A$54,0)),0))</f>
        <v/>
      </c>
      <c r="N36" s="36">
        <f>IF(OR(H36="",I36="",K36="Cancelado"),0,I36*N(M36))</f>
        <v/>
      </c>
      <c r="O36" s="37">
        <f>IF(ISNUMBER(A36),MONTH(A36),"")</f>
        <v/>
      </c>
      <c r="P36" s="37">
        <f>IF(ISNUMBER(A36),YEAR(A36),"")</f>
        <v/>
      </c>
    </row>
    <row r="37">
      <c r="A37" s="32" t="n"/>
      <c r="B37" s="33" t="n"/>
      <c r="C37" s="33" t="n"/>
      <c r="D37" s="33" t="n"/>
      <c r="E37" s="33" t="n"/>
      <c r="F37" s="33" t="n"/>
      <c r="G37" s="33" t="n"/>
      <c r="H37" s="33" t="n"/>
      <c r="I37" s="34" t="n"/>
      <c r="J37" s="33" t="n"/>
      <c r="K37" s="33" t="n"/>
      <c r="L37" s="33" t="n"/>
      <c r="M37" s="35">
        <f>IF(H37="","",IFERROR(INDEX(Parceiros!$E$5:$E$54,MATCH(H37,Parceiros!$A$5:$A$54,0)),0))</f>
        <v/>
      </c>
      <c r="N37" s="36">
        <f>IF(OR(H37="",I37="",K37="Cancelado"),0,I37*N(M37))</f>
        <v/>
      </c>
      <c r="O37" s="37">
        <f>IF(ISNUMBER(A37),MONTH(A37),"")</f>
        <v/>
      </c>
      <c r="P37" s="37">
        <f>IF(ISNUMBER(A37),YEAR(A37),"")</f>
        <v/>
      </c>
    </row>
    <row r="38">
      <c r="A38" s="32" t="n"/>
      <c r="B38" s="33" t="n"/>
      <c r="C38" s="33" t="n"/>
      <c r="D38" s="33" t="n"/>
      <c r="E38" s="33" t="n"/>
      <c r="F38" s="33" t="n"/>
      <c r="G38" s="33" t="n"/>
      <c r="H38" s="33" t="n"/>
      <c r="I38" s="34" t="n"/>
      <c r="J38" s="33" t="n"/>
      <c r="K38" s="33" t="n"/>
      <c r="L38" s="33" t="n"/>
      <c r="M38" s="35">
        <f>IF(H38="","",IFERROR(INDEX(Parceiros!$E$5:$E$54,MATCH(H38,Parceiros!$A$5:$A$54,0)),0))</f>
        <v/>
      </c>
      <c r="N38" s="36">
        <f>IF(OR(H38="",I38="",K38="Cancelado"),0,I38*N(M38))</f>
        <v/>
      </c>
      <c r="O38" s="37">
        <f>IF(ISNUMBER(A38),MONTH(A38),"")</f>
        <v/>
      </c>
      <c r="P38" s="37">
        <f>IF(ISNUMBER(A38),YEAR(A38),"")</f>
        <v/>
      </c>
    </row>
    <row r="39">
      <c r="A39" s="32" t="n"/>
      <c r="B39" s="33" t="n"/>
      <c r="C39" s="33" t="n"/>
      <c r="D39" s="33" t="n"/>
      <c r="E39" s="33" t="n"/>
      <c r="F39" s="33" t="n"/>
      <c r="G39" s="33" t="n"/>
      <c r="H39" s="33" t="n"/>
      <c r="I39" s="34" t="n"/>
      <c r="J39" s="33" t="n"/>
      <c r="K39" s="33" t="n"/>
      <c r="L39" s="33" t="n"/>
      <c r="M39" s="35">
        <f>IF(H39="","",IFERROR(INDEX(Parceiros!$E$5:$E$54,MATCH(H39,Parceiros!$A$5:$A$54,0)),0))</f>
        <v/>
      </c>
      <c r="N39" s="36">
        <f>IF(OR(H39="",I39="",K39="Cancelado"),0,I39*N(M39))</f>
        <v/>
      </c>
      <c r="O39" s="37">
        <f>IF(ISNUMBER(A39),MONTH(A39),"")</f>
        <v/>
      </c>
      <c r="P39" s="37">
        <f>IF(ISNUMBER(A39),YEAR(A39),"")</f>
        <v/>
      </c>
    </row>
    <row r="40">
      <c r="A40" s="32" t="n"/>
      <c r="B40" s="33" t="n"/>
      <c r="C40" s="33" t="n"/>
      <c r="D40" s="33" t="n"/>
      <c r="E40" s="33" t="n"/>
      <c r="F40" s="33" t="n"/>
      <c r="G40" s="33" t="n"/>
      <c r="H40" s="33" t="n"/>
      <c r="I40" s="34" t="n"/>
      <c r="J40" s="33" t="n"/>
      <c r="K40" s="33" t="n"/>
      <c r="L40" s="33" t="n"/>
      <c r="M40" s="35">
        <f>IF(H40="","",IFERROR(INDEX(Parceiros!$E$5:$E$54,MATCH(H40,Parceiros!$A$5:$A$54,0)),0))</f>
        <v/>
      </c>
      <c r="N40" s="36">
        <f>IF(OR(H40="",I40="",K40="Cancelado"),0,I40*N(M40))</f>
        <v/>
      </c>
      <c r="O40" s="37">
        <f>IF(ISNUMBER(A40),MONTH(A40),"")</f>
        <v/>
      </c>
      <c r="P40" s="37">
        <f>IF(ISNUMBER(A40),YEAR(A40),"")</f>
        <v/>
      </c>
    </row>
    <row r="41">
      <c r="A41" s="32" t="n"/>
      <c r="B41" s="33" t="n"/>
      <c r="C41" s="33" t="n"/>
      <c r="D41" s="33" t="n"/>
      <c r="E41" s="33" t="n"/>
      <c r="F41" s="33" t="n"/>
      <c r="G41" s="33" t="n"/>
      <c r="H41" s="33" t="n"/>
      <c r="I41" s="34" t="n"/>
      <c r="J41" s="33" t="n"/>
      <c r="K41" s="33" t="n"/>
      <c r="L41" s="33" t="n"/>
      <c r="M41" s="35">
        <f>IF(H41="","",IFERROR(INDEX(Parceiros!$E$5:$E$54,MATCH(H41,Parceiros!$A$5:$A$54,0)),0))</f>
        <v/>
      </c>
      <c r="N41" s="36">
        <f>IF(OR(H41="",I41="",K41="Cancelado"),0,I41*N(M41))</f>
        <v/>
      </c>
      <c r="O41" s="37">
        <f>IF(ISNUMBER(A41),MONTH(A41),"")</f>
        <v/>
      </c>
      <c r="P41" s="37">
        <f>IF(ISNUMBER(A41),YEAR(A41),"")</f>
        <v/>
      </c>
    </row>
    <row r="42">
      <c r="A42" s="32" t="n"/>
      <c r="B42" s="33" t="n"/>
      <c r="C42" s="33" t="n"/>
      <c r="D42" s="33" t="n"/>
      <c r="E42" s="33" t="n"/>
      <c r="F42" s="33" t="n"/>
      <c r="G42" s="33" t="n"/>
      <c r="H42" s="33" t="n"/>
      <c r="I42" s="34" t="n"/>
      <c r="J42" s="33" t="n"/>
      <c r="K42" s="33" t="n"/>
      <c r="L42" s="33" t="n"/>
      <c r="M42" s="35">
        <f>IF(H42="","",IFERROR(INDEX(Parceiros!$E$5:$E$54,MATCH(H42,Parceiros!$A$5:$A$54,0)),0))</f>
        <v/>
      </c>
      <c r="N42" s="36">
        <f>IF(OR(H42="",I42="",K42="Cancelado"),0,I42*N(M42))</f>
        <v/>
      </c>
      <c r="O42" s="37">
        <f>IF(ISNUMBER(A42),MONTH(A42),"")</f>
        <v/>
      </c>
      <c r="P42" s="37">
        <f>IF(ISNUMBER(A42),YEAR(A42),"")</f>
        <v/>
      </c>
    </row>
    <row r="43">
      <c r="A43" s="32" t="n"/>
      <c r="B43" s="33" t="n"/>
      <c r="C43" s="33" t="n"/>
      <c r="D43" s="33" t="n"/>
      <c r="E43" s="33" t="n"/>
      <c r="F43" s="33" t="n"/>
      <c r="G43" s="33" t="n"/>
      <c r="H43" s="33" t="n"/>
      <c r="I43" s="34" t="n"/>
      <c r="J43" s="33" t="n"/>
      <c r="K43" s="33" t="n"/>
      <c r="L43" s="33" t="n"/>
      <c r="M43" s="35">
        <f>IF(H43="","",IFERROR(INDEX(Parceiros!$E$5:$E$54,MATCH(H43,Parceiros!$A$5:$A$54,0)),0))</f>
        <v/>
      </c>
      <c r="N43" s="36">
        <f>IF(OR(H43="",I43="",K43="Cancelado"),0,I43*N(M43))</f>
        <v/>
      </c>
      <c r="O43" s="37">
        <f>IF(ISNUMBER(A43),MONTH(A43),"")</f>
        <v/>
      </c>
      <c r="P43" s="37">
        <f>IF(ISNUMBER(A43),YEAR(A43),"")</f>
        <v/>
      </c>
    </row>
    <row r="44">
      <c r="A44" s="32" t="n"/>
      <c r="B44" s="33" t="n"/>
      <c r="C44" s="33" t="n"/>
      <c r="D44" s="33" t="n"/>
      <c r="E44" s="33" t="n"/>
      <c r="F44" s="33" t="n"/>
      <c r="G44" s="33" t="n"/>
      <c r="H44" s="33" t="n"/>
      <c r="I44" s="34" t="n"/>
      <c r="J44" s="33" t="n"/>
      <c r="K44" s="33" t="n"/>
      <c r="L44" s="33" t="n"/>
      <c r="M44" s="35">
        <f>IF(H44="","",IFERROR(INDEX(Parceiros!$E$5:$E$54,MATCH(H44,Parceiros!$A$5:$A$54,0)),0))</f>
        <v/>
      </c>
      <c r="N44" s="36">
        <f>IF(OR(H44="",I44="",K44="Cancelado"),0,I44*N(M44))</f>
        <v/>
      </c>
      <c r="O44" s="37">
        <f>IF(ISNUMBER(A44),MONTH(A44),"")</f>
        <v/>
      </c>
      <c r="P44" s="37">
        <f>IF(ISNUMBER(A44),YEAR(A44),"")</f>
        <v/>
      </c>
    </row>
    <row r="45">
      <c r="A45" s="32" t="n"/>
      <c r="B45" s="33" t="n"/>
      <c r="C45" s="33" t="n"/>
      <c r="D45" s="33" t="n"/>
      <c r="E45" s="33" t="n"/>
      <c r="F45" s="33" t="n"/>
      <c r="G45" s="33" t="n"/>
      <c r="H45" s="33" t="n"/>
      <c r="I45" s="34" t="n"/>
      <c r="J45" s="33" t="n"/>
      <c r="K45" s="33" t="n"/>
      <c r="L45" s="33" t="n"/>
      <c r="M45" s="35">
        <f>IF(H45="","",IFERROR(INDEX(Parceiros!$E$5:$E$54,MATCH(H45,Parceiros!$A$5:$A$54,0)),0))</f>
        <v/>
      </c>
      <c r="N45" s="36">
        <f>IF(OR(H45="",I45="",K45="Cancelado"),0,I45*N(M45))</f>
        <v/>
      </c>
      <c r="O45" s="37">
        <f>IF(ISNUMBER(A45),MONTH(A45),"")</f>
        <v/>
      </c>
      <c r="P45" s="37">
        <f>IF(ISNUMBER(A45),YEAR(A45),"")</f>
        <v/>
      </c>
    </row>
    <row r="46">
      <c r="A46" s="32" t="n"/>
      <c r="B46" s="33" t="n"/>
      <c r="C46" s="33" t="n"/>
      <c r="D46" s="33" t="n"/>
      <c r="E46" s="33" t="n"/>
      <c r="F46" s="33" t="n"/>
      <c r="G46" s="33" t="n"/>
      <c r="H46" s="33" t="n"/>
      <c r="I46" s="34" t="n"/>
      <c r="J46" s="33" t="n"/>
      <c r="K46" s="33" t="n"/>
      <c r="L46" s="33" t="n"/>
      <c r="M46" s="35">
        <f>IF(H46="","",IFERROR(INDEX(Parceiros!$E$5:$E$54,MATCH(H46,Parceiros!$A$5:$A$54,0)),0))</f>
        <v/>
      </c>
      <c r="N46" s="36">
        <f>IF(OR(H46="",I46="",K46="Cancelado"),0,I46*N(M46))</f>
        <v/>
      </c>
      <c r="O46" s="37">
        <f>IF(ISNUMBER(A46),MONTH(A46),"")</f>
        <v/>
      </c>
      <c r="P46" s="37">
        <f>IF(ISNUMBER(A46),YEAR(A46),"")</f>
        <v/>
      </c>
    </row>
    <row r="47">
      <c r="A47" s="32" t="n"/>
      <c r="B47" s="33" t="n"/>
      <c r="C47" s="33" t="n"/>
      <c r="D47" s="33" t="n"/>
      <c r="E47" s="33" t="n"/>
      <c r="F47" s="33" t="n"/>
      <c r="G47" s="33" t="n"/>
      <c r="H47" s="33" t="n"/>
      <c r="I47" s="34" t="n"/>
      <c r="J47" s="33" t="n"/>
      <c r="K47" s="33" t="n"/>
      <c r="L47" s="33" t="n"/>
      <c r="M47" s="35">
        <f>IF(H47="","",IFERROR(INDEX(Parceiros!$E$5:$E$54,MATCH(H47,Parceiros!$A$5:$A$54,0)),0))</f>
        <v/>
      </c>
      <c r="N47" s="36">
        <f>IF(OR(H47="",I47="",K47="Cancelado"),0,I47*N(M47))</f>
        <v/>
      </c>
      <c r="O47" s="37">
        <f>IF(ISNUMBER(A47),MONTH(A47),"")</f>
        <v/>
      </c>
      <c r="P47" s="37">
        <f>IF(ISNUMBER(A47),YEAR(A47),"")</f>
        <v/>
      </c>
    </row>
    <row r="48">
      <c r="A48" s="32" t="n"/>
      <c r="B48" s="33" t="n"/>
      <c r="C48" s="33" t="n"/>
      <c r="D48" s="33" t="n"/>
      <c r="E48" s="33" t="n"/>
      <c r="F48" s="33" t="n"/>
      <c r="G48" s="33" t="n"/>
      <c r="H48" s="33" t="n"/>
      <c r="I48" s="34" t="n"/>
      <c r="J48" s="33" t="n"/>
      <c r="K48" s="33" t="n"/>
      <c r="L48" s="33" t="n"/>
      <c r="M48" s="35">
        <f>IF(H48="","",IFERROR(INDEX(Parceiros!$E$5:$E$54,MATCH(H48,Parceiros!$A$5:$A$54,0)),0))</f>
        <v/>
      </c>
      <c r="N48" s="36">
        <f>IF(OR(H48="",I48="",K48="Cancelado"),0,I48*N(M48))</f>
        <v/>
      </c>
      <c r="O48" s="37">
        <f>IF(ISNUMBER(A48),MONTH(A48),"")</f>
        <v/>
      </c>
      <c r="P48" s="37">
        <f>IF(ISNUMBER(A48),YEAR(A48),"")</f>
        <v/>
      </c>
    </row>
    <row r="49">
      <c r="A49" s="32" t="n"/>
      <c r="B49" s="33" t="n"/>
      <c r="C49" s="33" t="n"/>
      <c r="D49" s="33" t="n"/>
      <c r="E49" s="33" t="n"/>
      <c r="F49" s="33" t="n"/>
      <c r="G49" s="33" t="n"/>
      <c r="H49" s="33" t="n"/>
      <c r="I49" s="34" t="n"/>
      <c r="J49" s="33" t="n"/>
      <c r="K49" s="33" t="n"/>
      <c r="L49" s="33" t="n"/>
      <c r="M49" s="35">
        <f>IF(H49="","",IFERROR(INDEX(Parceiros!$E$5:$E$54,MATCH(H49,Parceiros!$A$5:$A$54,0)),0))</f>
        <v/>
      </c>
      <c r="N49" s="36">
        <f>IF(OR(H49="",I49="",K49="Cancelado"),0,I49*N(M49))</f>
        <v/>
      </c>
      <c r="O49" s="37">
        <f>IF(ISNUMBER(A49),MONTH(A49),"")</f>
        <v/>
      </c>
      <c r="P49" s="37">
        <f>IF(ISNUMBER(A49),YEAR(A49),"")</f>
        <v/>
      </c>
    </row>
    <row r="50">
      <c r="A50" s="32" t="n"/>
      <c r="B50" s="33" t="n"/>
      <c r="C50" s="33" t="n"/>
      <c r="D50" s="33" t="n"/>
      <c r="E50" s="33" t="n"/>
      <c r="F50" s="33" t="n"/>
      <c r="G50" s="33" t="n"/>
      <c r="H50" s="33" t="n"/>
      <c r="I50" s="34" t="n"/>
      <c r="J50" s="33" t="n"/>
      <c r="K50" s="33" t="n"/>
      <c r="L50" s="33" t="n"/>
      <c r="M50" s="35">
        <f>IF(H50="","",IFERROR(INDEX(Parceiros!$E$5:$E$54,MATCH(H50,Parceiros!$A$5:$A$54,0)),0))</f>
        <v/>
      </c>
      <c r="N50" s="36">
        <f>IF(OR(H50="",I50="",K50="Cancelado"),0,I50*N(M50))</f>
        <v/>
      </c>
      <c r="O50" s="37">
        <f>IF(ISNUMBER(A50),MONTH(A50),"")</f>
        <v/>
      </c>
      <c r="P50" s="37">
        <f>IF(ISNUMBER(A50),YEAR(A50),"")</f>
        <v/>
      </c>
    </row>
    <row r="51">
      <c r="A51" s="32" t="n"/>
      <c r="B51" s="33" t="n"/>
      <c r="C51" s="33" t="n"/>
      <c r="D51" s="33" t="n"/>
      <c r="E51" s="33" t="n"/>
      <c r="F51" s="33" t="n"/>
      <c r="G51" s="33" t="n"/>
      <c r="H51" s="33" t="n"/>
      <c r="I51" s="34" t="n"/>
      <c r="J51" s="33" t="n"/>
      <c r="K51" s="33" t="n"/>
      <c r="L51" s="33" t="n"/>
      <c r="M51" s="35">
        <f>IF(H51="","",IFERROR(INDEX(Parceiros!$E$5:$E$54,MATCH(H51,Parceiros!$A$5:$A$54,0)),0))</f>
        <v/>
      </c>
      <c r="N51" s="36">
        <f>IF(OR(H51="",I51="",K51="Cancelado"),0,I51*N(M51))</f>
        <v/>
      </c>
      <c r="O51" s="37">
        <f>IF(ISNUMBER(A51),MONTH(A51),"")</f>
        <v/>
      </c>
      <c r="P51" s="37">
        <f>IF(ISNUMBER(A51),YEAR(A51),"")</f>
        <v/>
      </c>
    </row>
    <row r="52">
      <c r="A52" s="32" t="n"/>
      <c r="B52" s="33" t="n"/>
      <c r="C52" s="33" t="n"/>
      <c r="D52" s="33" t="n"/>
      <c r="E52" s="33" t="n"/>
      <c r="F52" s="33" t="n"/>
      <c r="G52" s="33" t="n"/>
      <c r="H52" s="33" t="n"/>
      <c r="I52" s="34" t="n"/>
      <c r="J52" s="33" t="n"/>
      <c r="K52" s="33" t="n"/>
      <c r="L52" s="33" t="n"/>
      <c r="M52" s="35">
        <f>IF(H52="","",IFERROR(INDEX(Parceiros!$E$5:$E$54,MATCH(H52,Parceiros!$A$5:$A$54,0)),0))</f>
        <v/>
      </c>
      <c r="N52" s="36">
        <f>IF(OR(H52="",I52="",K52="Cancelado"),0,I52*N(M52))</f>
        <v/>
      </c>
      <c r="O52" s="37">
        <f>IF(ISNUMBER(A52),MONTH(A52),"")</f>
        <v/>
      </c>
      <c r="P52" s="37">
        <f>IF(ISNUMBER(A52),YEAR(A52),"")</f>
        <v/>
      </c>
    </row>
    <row r="53">
      <c r="A53" s="32" t="n"/>
      <c r="B53" s="33" t="n"/>
      <c r="C53" s="33" t="n"/>
      <c r="D53" s="33" t="n"/>
      <c r="E53" s="33" t="n"/>
      <c r="F53" s="33" t="n"/>
      <c r="G53" s="33" t="n"/>
      <c r="H53" s="33" t="n"/>
      <c r="I53" s="34" t="n"/>
      <c r="J53" s="33" t="n"/>
      <c r="K53" s="33" t="n"/>
      <c r="L53" s="33" t="n"/>
      <c r="M53" s="35">
        <f>IF(H53="","",IFERROR(INDEX(Parceiros!$E$5:$E$54,MATCH(H53,Parceiros!$A$5:$A$54,0)),0))</f>
        <v/>
      </c>
      <c r="N53" s="36">
        <f>IF(OR(H53="",I53="",K53="Cancelado"),0,I53*N(M53))</f>
        <v/>
      </c>
      <c r="O53" s="37">
        <f>IF(ISNUMBER(A53),MONTH(A53),"")</f>
        <v/>
      </c>
      <c r="P53" s="37">
        <f>IF(ISNUMBER(A53),YEAR(A53),"")</f>
        <v/>
      </c>
    </row>
    <row r="54">
      <c r="A54" s="32" t="n"/>
      <c r="B54" s="33" t="n"/>
      <c r="C54" s="33" t="n"/>
      <c r="D54" s="33" t="n"/>
      <c r="E54" s="33" t="n"/>
      <c r="F54" s="33" t="n"/>
      <c r="G54" s="33" t="n"/>
      <c r="H54" s="33" t="n"/>
      <c r="I54" s="34" t="n"/>
      <c r="J54" s="33" t="n"/>
      <c r="K54" s="33" t="n"/>
      <c r="L54" s="33" t="n"/>
      <c r="M54" s="35">
        <f>IF(H54="","",IFERROR(INDEX(Parceiros!$E$5:$E$54,MATCH(H54,Parceiros!$A$5:$A$54,0)),0))</f>
        <v/>
      </c>
      <c r="N54" s="36">
        <f>IF(OR(H54="",I54="",K54="Cancelado"),0,I54*N(M54))</f>
        <v/>
      </c>
      <c r="O54" s="37">
        <f>IF(ISNUMBER(A54),MONTH(A54),"")</f>
        <v/>
      </c>
      <c r="P54" s="37">
        <f>IF(ISNUMBER(A54),YEAR(A54),"")</f>
        <v/>
      </c>
    </row>
    <row r="55">
      <c r="A55" s="32" t="n"/>
      <c r="B55" s="33" t="n"/>
      <c r="C55" s="33" t="n"/>
      <c r="D55" s="33" t="n"/>
      <c r="E55" s="33" t="n"/>
      <c r="F55" s="33" t="n"/>
      <c r="G55" s="33" t="n"/>
      <c r="H55" s="33" t="n"/>
      <c r="I55" s="34" t="n"/>
      <c r="J55" s="33" t="n"/>
      <c r="K55" s="33" t="n"/>
      <c r="L55" s="33" t="n"/>
      <c r="M55" s="35">
        <f>IF(H55="","",IFERROR(INDEX(Parceiros!$E$5:$E$54,MATCH(H55,Parceiros!$A$5:$A$54,0)),0))</f>
        <v/>
      </c>
      <c r="N55" s="36">
        <f>IF(OR(H55="",I55="",K55="Cancelado"),0,I55*N(M55))</f>
        <v/>
      </c>
      <c r="O55" s="37">
        <f>IF(ISNUMBER(A55),MONTH(A55),"")</f>
        <v/>
      </c>
      <c r="P55" s="37">
        <f>IF(ISNUMBER(A55),YEAR(A55),"")</f>
        <v/>
      </c>
    </row>
    <row r="56">
      <c r="A56" s="32" t="n"/>
      <c r="B56" s="33" t="n"/>
      <c r="C56" s="33" t="n"/>
      <c r="D56" s="33" t="n"/>
      <c r="E56" s="33" t="n"/>
      <c r="F56" s="33" t="n"/>
      <c r="G56" s="33" t="n"/>
      <c r="H56" s="33" t="n"/>
      <c r="I56" s="34" t="n"/>
      <c r="J56" s="33" t="n"/>
      <c r="K56" s="33" t="n"/>
      <c r="L56" s="33" t="n"/>
      <c r="M56" s="35">
        <f>IF(H56="","",IFERROR(INDEX(Parceiros!$E$5:$E$54,MATCH(H56,Parceiros!$A$5:$A$54,0)),0))</f>
        <v/>
      </c>
      <c r="N56" s="36">
        <f>IF(OR(H56="",I56="",K56="Cancelado"),0,I56*N(M56))</f>
        <v/>
      </c>
      <c r="O56" s="37">
        <f>IF(ISNUMBER(A56),MONTH(A56),"")</f>
        <v/>
      </c>
      <c r="P56" s="37">
        <f>IF(ISNUMBER(A56),YEAR(A56),"")</f>
        <v/>
      </c>
    </row>
    <row r="57">
      <c r="A57" s="32" t="n"/>
      <c r="B57" s="33" t="n"/>
      <c r="C57" s="33" t="n"/>
      <c r="D57" s="33" t="n"/>
      <c r="E57" s="33" t="n"/>
      <c r="F57" s="33" t="n"/>
      <c r="G57" s="33" t="n"/>
      <c r="H57" s="33" t="n"/>
      <c r="I57" s="34" t="n"/>
      <c r="J57" s="33" t="n"/>
      <c r="K57" s="33" t="n"/>
      <c r="L57" s="33" t="n"/>
      <c r="M57" s="35">
        <f>IF(H57="","",IFERROR(INDEX(Parceiros!$E$5:$E$54,MATCH(H57,Parceiros!$A$5:$A$54,0)),0))</f>
        <v/>
      </c>
      <c r="N57" s="36">
        <f>IF(OR(H57="",I57="",K57="Cancelado"),0,I57*N(M57))</f>
        <v/>
      </c>
      <c r="O57" s="37">
        <f>IF(ISNUMBER(A57),MONTH(A57),"")</f>
        <v/>
      </c>
      <c r="P57" s="37">
        <f>IF(ISNUMBER(A57),YEAR(A57),"")</f>
        <v/>
      </c>
    </row>
    <row r="58">
      <c r="A58" s="32" t="n"/>
      <c r="B58" s="33" t="n"/>
      <c r="C58" s="33" t="n"/>
      <c r="D58" s="33" t="n"/>
      <c r="E58" s="33" t="n"/>
      <c r="F58" s="33" t="n"/>
      <c r="G58" s="33" t="n"/>
      <c r="H58" s="33" t="n"/>
      <c r="I58" s="34" t="n"/>
      <c r="J58" s="33" t="n"/>
      <c r="K58" s="33" t="n"/>
      <c r="L58" s="33" t="n"/>
      <c r="M58" s="35">
        <f>IF(H58="","",IFERROR(INDEX(Parceiros!$E$5:$E$54,MATCH(H58,Parceiros!$A$5:$A$54,0)),0))</f>
        <v/>
      </c>
      <c r="N58" s="36">
        <f>IF(OR(H58="",I58="",K58="Cancelado"),0,I58*N(M58))</f>
        <v/>
      </c>
      <c r="O58" s="37">
        <f>IF(ISNUMBER(A58),MONTH(A58),"")</f>
        <v/>
      </c>
      <c r="P58" s="37">
        <f>IF(ISNUMBER(A58),YEAR(A58),"")</f>
        <v/>
      </c>
    </row>
    <row r="59">
      <c r="A59" s="32" t="n"/>
      <c r="B59" s="33" t="n"/>
      <c r="C59" s="33" t="n"/>
      <c r="D59" s="33" t="n"/>
      <c r="E59" s="33" t="n"/>
      <c r="F59" s="33" t="n"/>
      <c r="G59" s="33" t="n"/>
      <c r="H59" s="33" t="n"/>
      <c r="I59" s="34" t="n"/>
      <c r="J59" s="33" t="n"/>
      <c r="K59" s="33" t="n"/>
      <c r="L59" s="33" t="n"/>
      <c r="M59" s="35">
        <f>IF(H59="","",IFERROR(INDEX(Parceiros!$E$5:$E$54,MATCH(H59,Parceiros!$A$5:$A$54,0)),0))</f>
        <v/>
      </c>
      <c r="N59" s="36">
        <f>IF(OR(H59="",I59="",K59="Cancelado"),0,I59*N(M59))</f>
        <v/>
      </c>
      <c r="O59" s="37">
        <f>IF(ISNUMBER(A59),MONTH(A59),"")</f>
        <v/>
      </c>
      <c r="P59" s="37">
        <f>IF(ISNUMBER(A59),YEAR(A59),"")</f>
        <v/>
      </c>
    </row>
    <row r="60">
      <c r="A60" s="32" t="n"/>
      <c r="B60" s="33" t="n"/>
      <c r="C60" s="33" t="n"/>
      <c r="D60" s="33" t="n"/>
      <c r="E60" s="33" t="n"/>
      <c r="F60" s="33" t="n"/>
      <c r="G60" s="33" t="n"/>
      <c r="H60" s="33" t="n"/>
      <c r="I60" s="34" t="n"/>
      <c r="J60" s="33" t="n"/>
      <c r="K60" s="33" t="n"/>
      <c r="L60" s="33" t="n"/>
      <c r="M60" s="35">
        <f>IF(H60="","",IFERROR(INDEX(Parceiros!$E$5:$E$54,MATCH(H60,Parceiros!$A$5:$A$54,0)),0))</f>
        <v/>
      </c>
      <c r="N60" s="36">
        <f>IF(OR(H60="",I60="",K60="Cancelado"),0,I60*N(M60))</f>
        <v/>
      </c>
      <c r="O60" s="37">
        <f>IF(ISNUMBER(A60),MONTH(A60),"")</f>
        <v/>
      </c>
      <c r="P60" s="37">
        <f>IF(ISNUMBER(A60),YEAR(A60),"")</f>
        <v/>
      </c>
    </row>
    <row r="61">
      <c r="A61" s="32" t="n"/>
      <c r="B61" s="33" t="n"/>
      <c r="C61" s="33" t="n"/>
      <c r="D61" s="33" t="n"/>
      <c r="E61" s="33" t="n"/>
      <c r="F61" s="33" t="n"/>
      <c r="G61" s="33" t="n"/>
      <c r="H61" s="33" t="n"/>
      <c r="I61" s="34" t="n"/>
      <c r="J61" s="33" t="n"/>
      <c r="K61" s="33" t="n"/>
      <c r="L61" s="33" t="n"/>
      <c r="M61" s="35">
        <f>IF(H61="","",IFERROR(INDEX(Parceiros!$E$5:$E$54,MATCH(H61,Parceiros!$A$5:$A$54,0)),0))</f>
        <v/>
      </c>
      <c r="N61" s="36">
        <f>IF(OR(H61="",I61="",K61="Cancelado"),0,I61*N(M61))</f>
        <v/>
      </c>
      <c r="O61" s="37">
        <f>IF(ISNUMBER(A61),MONTH(A61),"")</f>
        <v/>
      </c>
      <c r="P61" s="37">
        <f>IF(ISNUMBER(A61),YEAR(A61),"")</f>
        <v/>
      </c>
    </row>
    <row r="62">
      <c r="A62" s="32" t="n"/>
      <c r="B62" s="33" t="n"/>
      <c r="C62" s="33" t="n"/>
      <c r="D62" s="33" t="n"/>
      <c r="E62" s="33" t="n"/>
      <c r="F62" s="33" t="n"/>
      <c r="G62" s="33" t="n"/>
      <c r="H62" s="33" t="n"/>
      <c r="I62" s="34" t="n"/>
      <c r="J62" s="33" t="n"/>
      <c r="K62" s="33" t="n"/>
      <c r="L62" s="33" t="n"/>
      <c r="M62" s="35">
        <f>IF(H62="","",IFERROR(INDEX(Parceiros!$E$5:$E$54,MATCH(H62,Parceiros!$A$5:$A$54,0)),0))</f>
        <v/>
      </c>
      <c r="N62" s="36">
        <f>IF(OR(H62="",I62="",K62="Cancelado"),0,I62*N(M62))</f>
        <v/>
      </c>
      <c r="O62" s="37">
        <f>IF(ISNUMBER(A62),MONTH(A62),"")</f>
        <v/>
      </c>
      <c r="P62" s="37">
        <f>IF(ISNUMBER(A62),YEAR(A62),"")</f>
        <v/>
      </c>
    </row>
    <row r="63">
      <c r="A63" s="32" t="n"/>
      <c r="B63" s="33" t="n"/>
      <c r="C63" s="33" t="n"/>
      <c r="D63" s="33" t="n"/>
      <c r="E63" s="33" t="n"/>
      <c r="F63" s="33" t="n"/>
      <c r="G63" s="33" t="n"/>
      <c r="H63" s="33" t="n"/>
      <c r="I63" s="34" t="n"/>
      <c r="J63" s="33" t="n"/>
      <c r="K63" s="33" t="n"/>
      <c r="L63" s="33" t="n"/>
      <c r="M63" s="35">
        <f>IF(H63="","",IFERROR(INDEX(Parceiros!$E$5:$E$54,MATCH(H63,Parceiros!$A$5:$A$54,0)),0))</f>
        <v/>
      </c>
      <c r="N63" s="36">
        <f>IF(OR(H63="",I63="",K63="Cancelado"),0,I63*N(M63))</f>
        <v/>
      </c>
      <c r="O63" s="37">
        <f>IF(ISNUMBER(A63),MONTH(A63),"")</f>
        <v/>
      </c>
      <c r="P63" s="37">
        <f>IF(ISNUMBER(A63),YEAR(A63),"")</f>
        <v/>
      </c>
    </row>
    <row r="64">
      <c r="A64" s="32" t="n"/>
      <c r="B64" s="33" t="n"/>
      <c r="C64" s="33" t="n"/>
      <c r="D64" s="33" t="n"/>
      <c r="E64" s="33" t="n"/>
      <c r="F64" s="33" t="n"/>
      <c r="G64" s="33" t="n"/>
      <c r="H64" s="33" t="n"/>
      <c r="I64" s="34" t="n"/>
      <c r="J64" s="33" t="n"/>
      <c r="K64" s="33" t="n"/>
      <c r="L64" s="33" t="n"/>
      <c r="M64" s="35">
        <f>IF(H64="","",IFERROR(INDEX(Parceiros!$E$5:$E$54,MATCH(H64,Parceiros!$A$5:$A$54,0)),0))</f>
        <v/>
      </c>
      <c r="N64" s="36">
        <f>IF(OR(H64="",I64="",K64="Cancelado"),0,I64*N(M64))</f>
        <v/>
      </c>
      <c r="O64" s="37">
        <f>IF(ISNUMBER(A64),MONTH(A64),"")</f>
        <v/>
      </c>
      <c r="P64" s="37">
        <f>IF(ISNUMBER(A64),YEAR(A64),"")</f>
        <v/>
      </c>
    </row>
    <row r="65">
      <c r="A65" s="32" t="n"/>
      <c r="B65" s="33" t="n"/>
      <c r="C65" s="33" t="n"/>
      <c r="D65" s="33" t="n"/>
      <c r="E65" s="33" t="n"/>
      <c r="F65" s="33" t="n"/>
      <c r="G65" s="33" t="n"/>
      <c r="H65" s="33" t="n"/>
      <c r="I65" s="34" t="n"/>
      <c r="J65" s="33" t="n"/>
      <c r="K65" s="33" t="n"/>
      <c r="L65" s="33" t="n"/>
      <c r="M65" s="35">
        <f>IF(H65="","",IFERROR(INDEX(Parceiros!$E$5:$E$54,MATCH(H65,Parceiros!$A$5:$A$54,0)),0))</f>
        <v/>
      </c>
      <c r="N65" s="36">
        <f>IF(OR(H65="",I65="",K65="Cancelado"),0,I65*N(M65))</f>
        <v/>
      </c>
      <c r="O65" s="37">
        <f>IF(ISNUMBER(A65),MONTH(A65),"")</f>
        <v/>
      </c>
      <c r="P65" s="37">
        <f>IF(ISNUMBER(A65),YEAR(A65),"")</f>
        <v/>
      </c>
    </row>
    <row r="66">
      <c r="A66" s="32" t="n"/>
      <c r="B66" s="33" t="n"/>
      <c r="C66" s="33" t="n"/>
      <c r="D66" s="33" t="n"/>
      <c r="E66" s="33" t="n"/>
      <c r="F66" s="33" t="n"/>
      <c r="G66" s="33" t="n"/>
      <c r="H66" s="33" t="n"/>
      <c r="I66" s="34" t="n"/>
      <c r="J66" s="33" t="n"/>
      <c r="K66" s="33" t="n"/>
      <c r="L66" s="33" t="n"/>
      <c r="M66" s="35">
        <f>IF(H66="","",IFERROR(INDEX(Parceiros!$E$5:$E$54,MATCH(H66,Parceiros!$A$5:$A$54,0)),0))</f>
        <v/>
      </c>
      <c r="N66" s="36">
        <f>IF(OR(H66="",I66="",K66="Cancelado"),0,I66*N(M66))</f>
        <v/>
      </c>
      <c r="O66" s="37">
        <f>IF(ISNUMBER(A66),MONTH(A66),"")</f>
        <v/>
      </c>
      <c r="P66" s="37">
        <f>IF(ISNUMBER(A66),YEAR(A66),"")</f>
        <v/>
      </c>
    </row>
    <row r="67">
      <c r="A67" s="32" t="n"/>
      <c r="B67" s="33" t="n"/>
      <c r="C67" s="33" t="n"/>
      <c r="D67" s="33" t="n"/>
      <c r="E67" s="33" t="n"/>
      <c r="F67" s="33" t="n"/>
      <c r="G67" s="33" t="n"/>
      <c r="H67" s="33" t="n"/>
      <c r="I67" s="34" t="n"/>
      <c r="J67" s="33" t="n"/>
      <c r="K67" s="33" t="n"/>
      <c r="L67" s="33" t="n"/>
      <c r="M67" s="35">
        <f>IF(H67="","",IFERROR(INDEX(Parceiros!$E$5:$E$54,MATCH(H67,Parceiros!$A$5:$A$54,0)),0))</f>
        <v/>
      </c>
      <c r="N67" s="36">
        <f>IF(OR(H67="",I67="",K67="Cancelado"),0,I67*N(M67))</f>
        <v/>
      </c>
      <c r="O67" s="37">
        <f>IF(ISNUMBER(A67),MONTH(A67),"")</f>
        <v/>
      </c>
      <c r="P67" s="37">
        <f>IF(ISNUMBER(A67),YEAR(A67),"")</f>
        <v/>
      </c>
    </row>
    <row r="68">
      <c r="A68" s="32" t="n"/>
      <c r="B68" s="33" t="n"/>
      <c r="C68" s="33" t="n"/>
      <c r="D68" s="33" t="n"/>
      <c r="E68" s="33" t="n"/>
      <c r="F68" s="33" t="n"/>
      <c r="G68" s="33" t="n"/>
      <c r="H68" s="33" t="n"/>
      <c r="I68" s="34" t="n"/>
      <c r="J68" s="33" t="n"/>
      <c r="K68" s="33" t="n"/>
      <c r="L68" s="33" t="n"/>
      <c r="M68" s="35">
        <f>IF(H68="","",IFERROR(INDEX(Parceiros!$E$5:$E$54,MATCH(H68,Parceiros!$A$5:$A$54,0)),0))</f>
        <v/>
      </c>
      <c r="N68" s="36">
        <f>IF(OR(H68="",I68="",K68="Cancelado"),0,I68*N(M68))</f>
        <v/>
      </c>
      <c r="O68" s="37">
        <f>IF(ISNUMBER(A68),MONTH(A68),"")</f>
        <v/>
      </c>
      <c r="P68" s="37">
        <f>IF(ISNUMBER(A68),YEAR(A68),"")</f>
        <v/>
      </c>
    </row>
    <row r="69">
      <c r="A69" s="32" t="n"/>
      <c r="B69" s="33" t="n"/>
      <c r="C69" s="33" t="n"/>
      <c r="D69" s="33" t="n"/>
      <c r="E69" s="33" t="n"/>
      <c r="F69" s="33" t="n"/>
      <c r="G69" s="33" t="n"/>
      <c r="H69" s="33" t="n"/>
      <c r="I69" s="34" t="n"/>
      <c r="J69" s="33" t="n"/>
      <c r="K69" s="33" t="n"/>
      <c r="L69" s="33" t="n"/>
      <c r="M69" s="35">
        <f>IF(H69="","",IFERROR(INDEX(Parceiros!$E$5:$E$54,MATCH(H69,Parceiros!$A$5:$A$54,0)),0))</f>
        <v/>
      </c>
      <c r="N69" s="36">
        <f>IF(OR(H69="",I69="",K69="Cancelado"),0,I69*N(M69))</f>
        <v/>
      </c>
      <c r="O69" s="37">
        <f>IF(ISNUMBER(A69),MONTH(A69),"")</f>
        <v/>
      </c>
      <c r="P69" s="37">
        <f>IF(ISNUMBER(A69),YEAR(A69),"")</f>
        <v/>
      </c>
    </row>
    <row r="70">
      <c r="A70" s="32" t="n"/>
      <c r="B70" s="33" t="n"/>
      <c r="C70" s="33" t="n"/>
      <c r="D70" s="33" t="n"/>
      <c r="E70" s="33" t="n"/>
      <c r="F70" s="33" t="n"/>
      <c r="G70" s="33" t="n"/>
      <c r="H70" s="33" t="n"/>
      <c r="I70" s="34" t="n"/>
      <c r="J70" s="33" t="n"/>
      <c r="K70" s="33" t="n"/>
      <c r="L70" s="33" t="n"/>
      <c r="M70" s="35">
        <f>IF(H70="","",IFERROR(INDEX(Parceiros!$E$5:$E$54,MATCH(H70,Parceiros!$A$5:$A$54,0)),0))</f>
        <v/>
      </c>
      <c r="N70" s="36">
        <f>IF(OR(H70="",I70="",K70="Cancelado"),0,I70*N(M70))</f>
        <v/>
      </c>
      <c r="O70" s="37">
        <f>IF(ISNUMBER(A70),MONTH(A70),"")</f>
        <v/>
      </c>
      <c r="P70" s="37">
        <f>IF(ISNUMBER(A70),YEAR(A70),"")</f>
        <v/>
      </c>
    </row>
    <row r="71">
      <c r="A71" s="32" t="n"/>
      <c r="B71" s="33" t="n"/>
      <c r="C71" s="33" t="n"/>
      <c r="D71" s="33" t="n"/>
      <c r="E71" s="33" t="n"/>
      <c r="F71" s="33" t="n"/>
      <c r="G71" s="33" t="n"/>
      <c r="H71" s="33" t="n"/>
      <c r="I71" s="34" t="n"/>
      <c r="J71" s="33" t="n"/>
      <c r="K71" s="33" t="n"/>
      <c r="L71" s="33" t="n"/>
      <c r="M71" s="35">
        <f>IF(H71="","",IFERROR(INDEX(Parceiros!$E$5:$E$54,MATCH(H71,Parceiros!$A$5:$A$54,0)),0))</f>
        <v/>
      </c>
      <c r="N71" s="36">
        <f>IF(OR(H71="",I71="",K71="Cancelado"),0,I71*N(M71))</f>
        <v/>
      </c>
      <c r="O71" s="37">
        <f>IF(ISNUMBER(A71),MONTH(A71),"")</f>
        <v/>
      </c>
      <c r="P71" s="37">
        <f>IF(ISNUMBER(A71),YEAR(A71),"")</f>
        <v/>
      </c>
    </row>
    <row r="72">
      <c r="A72" s="32" t="n"/>
      <c r="B72" s="33" t="n"/>
      <c r="C72" s="33" t="n"/>
      <c r="D72" s="33" t="n"/>
      <c r="E72" s="33" t="n"/>
      <c r="F72" s="33" t="n"/>
      <c r="G72" s="33" t="n"/>
      <c r="H72" s="33" t="n"/>
      <c r="I72" s="34" t="n"/>
      <c r="J72" s="33" t="n"/>
      <c r="K72" s="33" t="n"/>
      <c r="L72" s="33" t="n"/>
      <c r="M72" s="35">
        <f>IF(H72="","",IFERROR(INDEX(Parceiros!$E$5:$E$54,MATCH(H72,Parceiros!$A$5:$A$54,0)),0))</f>
        <v/>
      </c>
      <c r="N72" s="36">
        <f>IF(OR(H72="",I72="",K72="Cancelado"),0,I72*N(M72))</f>
        <v/>
      </c>
      <c r="O72" s="37">
        <f>IF(ISNUMBER(A72),MONTH(A72),"")</f>
        <v/>
      </c>
      <c r="P72" s="37">
        <f>IF(ISNUMBER(A72),YEAR(A72),"")</f>
        <v/>
      </c>
    </row>
    <row r="73">
      <c r="A73" s="32" t="n"/>
      <c r="B73" s="33" t="n"/>
      <c r="C73" s="33" t="n"/>
      <c r="D73" s="33" t="n"/>
      <c r="E73" s="33" t="n"/>
      <c r="F73" s="33" t="n"/>
      <c r="G73" s="33" t="n"/>
      <c r="H73" s="33" t="n"/>
      <c r="I73" s="34" t="n"/>
      <c r="J73" s="33" t="n"/>
      <c r="K73" s="33" t="n"/>
      <c r="L73" s="33" t="n"/>
      <c r="M73" s="35">
        <f>IF(H73="","",IFERROR(INDEX(Parceiros!$E$5:$E$54,MATCH(H73,Parceiros!$A$5:$A$54,0)),0))</f>
        <v/>
      </c>
      <c r="N73" s="36">
        <f>IF(OR(H73="",I73="",K73="Cancelado"),0,I73*N(M73))</f>
        <v/>
      </c>
      <c r="O73" s="37">
        <f>IF(ISNUMBER(A73),MONTH(A73),"")</f>
        <v/>
      </c>
      <c r="P73" s="37">
        <f>IF(ISNUMBER(A73),YEAR(A73),"")</f>
        <v/>
      </c>
    </row>
    <row r="74">
      <c r="A74" s="32" t="n"/>
      <c r="B74" s="33" t="n"/>
      <c r="C74" s="33" t="n"/>
      <c r="D74" s="33" t="n"/>
      <c r="E74" s="33" t="n"/>
      <c r="F74" s="33" t="n"/>
      <c r="G74" s="33" t="n"/>
      <c r="H74" s="33" t="n"/>
      <c r="I74" s="34" t="n"/>
      <c r="J74" s="33" t="n"/>
      <c r="K74" s="33" t="n"/>
      <c r="L74" s="33" t="n"/>
      <c r="M74" s="35">
        <f>IF(H74="","",IFERROR(INDEX(Parceiros!$E$5:$E$54,MATCH(H74,Parceiros!$A$5:$A$54,0)),0))</f>
        <v/>
      </c>
      <c r="N74" s="36">
        <f>IF(OR(H74="",I74="",K74="Cancelado"),0,I74*N(M74))</f>
        <v/>
      </c>
      <c r="O74" s="37">
        <f>IF(ISNUMBER(A74),MONTH(A74),"")</f>
        <v/>
      </c>
      <c r="P74" s="37">
        <f>IF(ISNUMBER(A74),YEAR(A74),"")</f>
        <v/>
      </c>
    </row>
    <row r="75">
      <c r="A75" s="32" t="n"/>
      <c r="B75" s="33" t="n"/>
      <c r="C75" s="33" t="n"/>
      <c r="D75" s="33" t="n"/>
      <c r="E75" s="33" t="n"/>
      <c r="F75" s="33" t="n"/>
      <c r="G75" s="33" t="n"/>
      <c r="H75" s="33" t="n"/>
      <c r="I75" s="34" t="n"/>
      <c r="J75" s="33" t="n"/>
      <c r="K75" s="33" t="n"/>
      <c r="L75" s="33" t="n"/>
      <c r="M75" s="35">
        <f>IF(H75="","",IFERROR(INDEX(Parceiros!$E$5:$E$54,MATCH(H75,Parceiros!$A$5:$A$54,0)),0))</f>
        <v/>
      </c>
      <c r="N75" s="36">
        <f>IF(OR(H75="",I75="",K75="Cancelado"),0,I75*N(M75))</f>
        <v/>
      </c>
      <c r="O75" s="37">
        <f>IF(ISNUMBER(A75),MONTH(A75),"")</f>
        <v/>
      </c>
      <c r="P75" s="37">
        <f>IF(ISNUMBER(A75),YEAR(A75),"")</f>
        <v/>
      </c>
    </row>
    <row r="76">
      <c r="A76" s="32" t="n"/>
      <c r="B76" s="33" t="n"/>
      <c r="C76" s="33" t="n"/>
      <c r="D76" s="33" t="n"/>
      <c r="E76" s="33" t="n"/>
      <c r="F76" s="33" t="n"/>
      <c r="G76" s="33" t="n"/>
      <c r="H76" s="33" t="n"/>
      <c r="I76" s="34" t="n"/>
      <c r="J76" s="33" t="n"/>
      <c r="K76" s="33" t="n"/>
      <c r="L76" s="33" t="n"/>
      <c r="M76" s="35">
        <f>IF(H76="","",IFERROR(INDEX(Parceiros!$E$5:$E$54,MATCH(H76,Parceiros!$A$5:$A$54,0)),0))</f>
        <v/>
      </c>
      <c r="N76" s="36">
        <f>IF(OR(H76="",I76="",K76="Cancelado"),0,I76*N(M76))</f>
        <v/>
      </c>
      <c r="O76" s="37">
        <f>IF(ISNUMBER(A76),MONTH(A76),"")</f>
        <v/>
      </c>
      <c r="P76" s="37">
        <f>IF(ISNUMBER(A76),YEAR(A76),"")</f>
        <v/>
      </c>
    </row>
    <row r="77">
      <c r="A77" s="32" t="n"/>
      <c r="B77" s="33" t="n"/>
      <c r="C77" s="33" t="n"/>
      <c r="D77" s="33" t="n"/>
      <c r="E77" s="33" t="n"/>
      <c r="F77" s="33" t="n"/>
      <c r="G77" s="33" t="n"/>
      <c r="H77" s="33" t="n"/>
      <c r="I77" s="34" t="n"/>
      <c r="J77" s="33" t="n"/>
      <c r="K77" s="33" t="n"/>
      <c r="L77" s="33" t="n"/>
      <c r="M77" s="35">
        <f>IF(H77="","",IFERROR(INDEX(Parceiros!$E$5:$E$54,MATCH(H77,Parceiros!$A$5:$A$54,0)),0))</f>
        <v/>
      </c>
      <c r="N77" s="36">
        <f>IF(OR(H77="",I77="",K77="Cancelado"),0,I77*N(M77))</f>
        <v/>
      </c>
      <c r="O77" s="37">
        <f>IF(ISNUMBER(A77),MONTH(A77),"")</f>
        <v/>
      </c>
      <c r="P77" s="37">
        <f>IF(ISNUMBER(A77),YEAR(A77),"")</f>
        <v/>
      </c>
    </row>
    <row r="78">
      <c r="A78" s="32" t="n"/>
      <c r="B78" s="33" t="n"/>
      <c r="C78" s="33" t="n"/>
      <c r="D78" s="33" t="n"/>
      <c r="E78" s="33" t="n"/>
      <c r="F78" s="33" t="n"/>
      <c r="G78" s="33" t="n"/>
      <c r="H78" s="33" t="n"/>
      <c r="I78" s="34" t="n"/>
      <c r="J78" s="33" t="n"/>
      <c r="K78" s="33" t="n"/>
      <c r="L78" s="33" t="n"/>
      <c r="M78" s="35">
        <f>IF(H78="","",IFERROR(INDEX(Parceiros!$E$5:$E$54,MATCH(H78,Parceiros!$A$5:$A$54,0)),0))</f>
        <v/>
      </c>
      <c r="N78" s="36">
        <f>IF(OR(H78="",I78="",K78="Cancelado"),0,I78*N(M78))</f>
        <v/>
      </c>
      <c r="O78" s="37">
        <f>IF(ISNUMBER(A78),MONTH(A78),"")</f>
        <v/>
      </c>
      <c r="P78" s="37">
        <f>IF(ISNUMBER(A78),YEAR(A78),"")</f>
        <v/>
      </c>
    </row>
    <row r="79">
      <c r="A79" s="32" t="n"/>
      <c r="B79" s="33" t="n"/>
      <c r="C79" s="33" t="n"/>
      <c r="D79" s="33" t="n"/>
      <c r="E79" s="33" t="n"/>
      <c r="F79" s="33" t="n"/>
      <c r="G79" s="33" t="n"/>
      <c r="H79" s="33" t="n"/>
      <c r="I79" s="34" t="n"/>
      <c r="J79" s="33" t="n"/>
      <c r="K79" s="33" t="n"/>
      <c r="L79" s="33" t="n"/>
      <c r="M79" s="35">
        <f>IF(H79="","",IFERROR(INDEX(Parceiros!$E$5:$E$54,MATCH(H79,Parceiros!$A$5:$A$54,0)),0))</f>
        <v/>
      </c>
      <c r="N79" s="36">
        <f>IF(OR(H79="",I79="",K79="Cancelado"),0,I79*N(M79))</f>
        <v/>
      </c>
      <c r="O79" s="37">
        <f>IF(ISNUMBER(A79),MONTH(A79),"")</f>
        <v/>
      </c>
      <c r="P79" s="37">
        <f>IF(ISNUMBER(A79),YEAR(A79),"")</f>
        <v/>
      </c>
    </row>
    <row r="80">
      <c r="A80" s="32" t="n"/>
      <c r="B80" s="33" t="n"/>
      <c r="C80" s="33" t="n"/>
      <c r="D80" s="33" t="n"/>
      <c r="E80" s="33" t="n"/>
      <c r="F80" s="33" t="n"/>
      <c r="G80" s="33" t="n"/>
      <c r="H80" s="33" t="n"/>
      <c r="I80" s="34" t="n"/>
      <c r="J80" s="33" t="n"/>
      <c r="K80" s="33" t="n"/>
      <c r="L80" s="33" t="n"/>
      <c r="M80" s="35">
        <f>IF(H80="","",IFERROR(INDEX(Parceiros!$E$5:$E$54,MATCH(H80,Parceiros!$A$5:$A$54,0)),0))</f>
        <v/>
      </c>
      <c r="N80" s="36">
        <f>IF(OR(H80="",I80="",K80="Cancelado"),0,I80*N(M80))</f>
        <v/>
      </c>
      <c r="O80" s="37">
        <f>IF(ISNUMBER(A80),MONTH(A80),"")</f>
        <v/>
      </c>
      <c r="P80" s="37">
        <f>IF(ISNUMBER(A80),YEAR(A80),"")</f>
        <v/>
      </c>
    </row>
    <row r="81">
      <c r="A81" s="32" t="n"/>
      <c r="B81" s="33" t="n"/>
      <c r="C81" s="33" t="n"/>
      <c r="D81" s="33" t="n"/>
      <c r="E81" s="33" t="n"/>
      <c r="F81" s="33" t="n"/>
      <c r="G81" s="33" t="n"/>
      <c r="H81" s="33" t="n"/>
      <c r="I81" s="34" t="n"/>
      <c r="J81" s="33" t="n"/>
      <c r="K81" s="33" t="n"/>
      <c r="L81" s="33" t="n"/>
      <c r="M81" s="35">
        <f>IF(H81="","",IFERROR(INDEX(Parceiros!$E$5:$E$54,MATCH(H81,Parceiros!$A$5:$A$54,0)),0))</f>
        <v/>
      </c>
      <c r="N81" s="36">
        <f>IF(OR(H81="",I81="",K81="Cancelado"),0,I81*N(M81))</f>
        <v/>
      </c>
      <c r="O81" s="37">
        <f>IF(ISNUMBER(A81),MONTH(A81),"")</f>
        <v/>
      </c>
      <c r="P81" s="37">
        <f>IF(ISNUMBER(A81),YEAR(A81),"")</f>
        <v/>
      </c>
    </row>
    <row r="82">
      <c r="A82" s="32" t="n"/>
      <c r="B82" s="33" t="n"/>
      <c r="C82" s="33" t="n"/>
      <c r="D82" s="33" t="n"/>
      <c r="E82" s="33" t="n"/>
      <c r="F82" s="33" t="n"/>
      <c r="G82" s="33" t="n"/>
      <c r="H82" s="33" t="n"/>
      <c r="I82" s="34" t="n"/>
      <c r="J82" s="33" t="n"/>
      <c r="K82" s="33" t="n"/>
      <c r="L82" s="33" t="n"/>
      <c r="M82" s="35">
        <f>IF(H82="","",IFERROR(INDEX(Parceiros!$E$5:$E$54,MATCH(H82,Parceiros!$A$5:$A$54,0)),0))</f>
        <v/>
      </c>
      <c r="N82" s="36">
        <f>IF(OR(H82="",I82="",K82="Cancelado"),0,I82*N(M82))</f>
        <v/>
      </c>
      <c r="O82" s="37">
        <f>IF(ISNUMBER(A82),MONTH(A82),"")</f>
        <v/>
      </c>
      <c r="P82" s="37">
        <f>IF(ISNUMBER(A82),YEAR(A82),"")</f>
        <v/>
      </c>
    </row>
    <row r="83">
      <c r="A83" s="32" t="n"/>
      <c r="B83" s="33" t="n"/>
      <c r="C83" s="33" t="n"/>
      <c r="D83" s="33" t="n"/>
      <c r="E83" s="33" t="n"/>
      <c r="F83" s="33" t="n"/>
      <c r="G83" s="33" t="n"/>
      <c r="H83" s="33" t="n"/>
      <c r="I83" s="34" t="n"/>
      <c r="J83" s="33" t="n"/>
      <c r="K83" s="33" t="n"/>
      <c r="L83" s="33" t="n"/>
      <c r="M83" s="35">
        <f>IF(H83="","",IFERROR(INDEX(Parceiros!$E$5:$E$54,MATCH(H83,Parceiros!$A$5:$A$54,0)),0))</f>
        <v/>
      </c>
      <c r="N83" s="36">
        <f>IF(OR(H83="",I83="",K83="Cancelado"),0,I83*N(M83))</f>
        <v/>
      </c>
      <c r="O83" s="37">
        <f>IF(ISNUMBER(A83),MONTH(A83),"")</f>
        <v/>
      </c>
      <c r="P83" s="37">
        <f>IF(ISNUMBER(A83),YEAR(A83),"")</f>
        <v/>
      </c>
    </row>
    <row r="84">
      <c r="A84" s="32" t="n"/>
      <c r="B84" s="33" t="n"/>
      <c r="C84" s="33" t="n"/>
      <c r="D84" s="33" t="n"/>
      <c r="E84" s="33" t="n"/>
      <c r="F84" s="33" t="n"/>
      <c r="G84" s="33" t="n"/>
      <c r="H84" s="33" t="n"/>
      <c r="I84" s="34" t="n"/>
      <c r="J84" s="33" t="n"/>
      <c r="K84" s="33" t="n"/>
      <c r="L84" s="33" t="n"/>
      <c r="M84" s="35">
        <f>IF(H84="","",IFERROR(INDEX(Parceiros!$E$5:$E$54,MATCH(H84,Parceiros!$A$5:$A$54,0)),0))</f>
        <v/>
      </c>
      <c r="N84" s="36">
        <f>IF(OR(H84="",I84="",K84="Cancelado"),0,I84*N(M84))</f>
        <v/>
      </c>
      <c r="O84" s="37">
        <f>IF(ISNUMBER(A84),MONTH(A84),"")</f>
        <v/>
      </c>
      <c r="P84" s="37">
        <f>IF(ISNUMBER(A84),YEAR(A84),"")</f>
        <v/>
      </c>
    </row>
    <row r="85">
      <c r="A85" s="32" t="n"/>
      <c r="B85" s="33" t="n"/>
      <c r="C85" s="33" t="n"/>
      <c r="D85" s="33" t="n"/>
      <c r="E85" s="33" t="n"/>
      <c r="F85" s="33" t="n"/>
      <c r="G85" s="33" t="n"/>
      <c r="H85" s="33" t="n"/>
      <c r="I85" s="34" t="n"/>
      <c r="J85" s="33" t="n"/>
      <c r="K85" s="33" t="n"/>
      <c r="L85" s="33" t="n"/>
      <c r="M85" s="35">
        <f>IF(H85="","",IFERROR(INDEX(Parceiros!$E$5:$E$54,MATCH(H85,Parceiros!$A$5:$A$54,0)),0))</f>
        <v/>
      </c>
      <c r="N85" s="36">
        <f>IF(OR(H85="",I85="",K85="Cancelado"),0,I85*N(M85))</f>
        <v/>
      </c>
      <c r="O85" s="37">
        <f>IF(ISNUMBER(A85),MONTH(A85),"")</f>
        <v/>
      </c>
      <c r="P85" s="37">
        <f>IF(ISNUMBER(A85),YEAR(A85),"")</f>
        <v/>
      </c>
    </row>
    <row r="86">
      <c r="A86" s="32" t="n"/>
      <c r="B86" s="33" t="n"/>
      <c r="C86" s="33" t="n"/>
      <c r="D86" s="33" t="n"/>
      <c r="E86" s="33" t="n"/>
      <c r="F86" s="33" t="n"/>
      <c r="G86" s="33" t="n"/>
      <c r="H86" s="33" t="n"/>
      <c r="I86" s="34" t="n"/>
      <c r="J86" s="33" t="n"/>
      <c r="K86" s="33" t="n"/>
      <c r="L86" s="33" t="n"/>
      <c r="M86" s="35">
        <f>IF(H86="","",IFERROR(INDEX(Parceiros!$E$5:$E$54,MATCH(H86,Parceiros!$A$5:$A$54,0)),0))</f>
        <v/>
      </c>
      <c r="N86" s="36">
        <f>IF(OR(H86="",I86="",K86="Cancelado"),0,I86*N(M86))</f>
        <v/>
      </c>
      <c r="O86" s="37">
        <f>IF(ISNUMBER(A86),MONTH(A86),"")</f>
        <v/>
      </c>
      <c r="P86" s="37">
        <f>IF(ISNUMBER(A86),YEAR(A86),"")</f>
        <v/>
      </c>
    </row>
    <row r="87">
      <c r="A87" s="32" t="n"/>
      <c r="B87" s="33" t="n"/>
      <c r="C87" s="33" t="n"/>
      <c r="D87" s="33" t="n"/>
      <c r="E87" s="33" t="n"/>
      <c r="F87" s="33" t="n"/>
      <c r="G87" s="33" t="n"/>
      <c r="H87" s="33" t="n"/>
      <c r="I87" s="34" t="n"/>
      <c r="J87" s="33" t="n"/>
      <c r="K87" s="33" t="n"/>
      <c r="L87" s="33" t="n"/>
      <c r="M87" s="35">
        <f>IF(H87="","",IFERROR(INDEX(Parceiros!$E$5:$E$54,MATCH(H87,Parceiros!$A$5:$A$54,0)),0))</f>
        <v/>
      </c>
      <c r="N87" s="36">
        <f>IF(OR(H87="",I87="",K87="Cancelado"),0,I87*N(M87))</f>
        <v/>
      </c>
      <c r="O87" s="37">
        <f>IF(ISNUMBER(A87),MONTH(A87),"")</f>
        <v/>
      </c>
      <c r="P87" s="37">
        <f>IF(ISNUMBER(A87),YEAR(A87),"")</f>
        <v/>
      </c>
    </row>
    <row r="88">
      <c r="A88" s="32" t="n"/>
      <c r="B88" s="33" t="n"/>
      <c r="C88" s="33" t="n"/>
      <c r="D88" s="33" t="n"/>
      <c r="E88" s="33" t="n"/>
      <c r="F88" s="33" t="n"/>
      <c r="G88" s="33" t="n"/>
      <c r="H88" s="33" t="n"/>
      <c r="I88" s="34" t="n"/>
      <c r="J88" s="33" t="n"/>
      <c r="K88" s="33" t="n"/>
      <c r="L88" s="33" t="n"/>
      <c r="M88" s="35">
        <f>IF(H88="","",IFERROR(INDEX(Parceiros!$E$5:$E$54,MATCH(H88,Parceiros!$A$5:$A$54,0)),0))</f>
        <v/>
      </c>
      <c r="N88" s="36">
        <f>IF(OR(H88="",I88="",K88="Cancelado"),0,I88*N(M88))</f>
        <v/>
      </c>
      <c r="O88" s="37">
        <f>IF(ISNUMBER(A88),MONTH(A88),"")</f>
        <v/>
      </c>
      <c r="P88" s="37">
        <f>IF(ISNUMBER(A88),YEAR(A88),"")</f>
        <v/>
      </c>
    </row>
    <row r="89">
      <c r="A89" s="32" t="n"/>
      <c r="B89" s="33" t="n"/>
      <c r="C89" s="33" t="n"/>
      <c r="D89" s="33" t="n"/>
      <c r="E89" s="33" t="n"/>
      <c r="F89" s="33" t="n"/>
      <c r="G89" s="33" t="n"/>
      <c r="H89" s="33" t="n"/>
      <c r="I89" s="34" t="n"/>
      <c r="J89" s="33" t="n"/>
      <c r="K89" s="33" t="n"/>
      <c r="L89" s="33" t="n"/>
      <c r="M89" s="35">
        <f>IF(H89="","",IFERROR(INDEX(Parceiros!$E$5:$E$54,MATCH(H89,Parceiros!$A$5:$A$54,0)),0))</f>
        <v/>
      </c>
      <c r="N89" s="36">
        <f>IF(OR(H89="",I89="",K89="Cancelado"),0,I89*N(M89))</f>
        <v/>
      </c>
      <c r="O89" s="37">
        <f>IF(ISNUMBER(A89),MONTH(A89),"")</f>
        <v/>
      </c>
      <c r="P89" s="37">
        <f>IF(ISNUMBER(A89),YEAR(A89),"")</f>
        <v/>
      </c>
    </row>
    <row r="90">
      <c r="A90" s="32" t="n"/>
      <c r="B90" s="33" t="n"/>
      <c r="C90" s="33" t="n"/>
      <c r="D90" s="33" t="n"/>
      <c r="E90" s="33" t="n"/>
      <c r="F90" s="33" t="n"/>
      <c r="G90" s="33" t="n"/>
      <c r="H90" s="33" t="n"/>
      <c r="I90" s="34" t="n"/>
      <c r="J90" s="33" t="n"/>
      <c r="K90" s="33" t="n"/>
      <c r="L90" s="33" t="n"/>
      <c r="M90" s="35">
        <f>IF(H90="","",IFERROR(INDEX(Parceiros!$E$5:$E$54,MATCH(H90,Parceiros!$A$5:$A$54,0)),0))</f>
        <v/>
      </c>
      <c r="N90" s="36">
        <f>IF(OR(H90="",I90="",K90="Cancelado"),0,I90*N(M90))</f>
        <v/>
      </c>
      <c r="O90" s="37">
        <f>IF(ISNUMBER(A90),MONTH(A90),"")</f>
        <v/>
      </c>
      <c r="P90" s="37">
        <f>IF(ISNUMBER(A90),YEAR(A90),"")</f>
        <v/>
      </c>
    </row>
    <row r="91">
      <c r="A91" s="32" t="n"/>
      <c r="B91" s="33" t="n"/>
      <c r="C91" s="33" t="n"/>
      <c r="D91" s="33" t="n"/>
      <c r="E91" s="33" t="n"/>
      <c r="F91" s="33" t="n"/>
      <c r="G91" s="33" t="n"/>
      <c r="H91" s="33" t="n"/>
      <c r="I91" s="34" t="n"/>
      <c r="J91" s="33" t="n"/>
      <c r="K91" s="33" t="n"/>
      <c r="L91" s="33" t="n"/>
      <c r="M91" s="35">
        <f>IF(H91="","",IFERROR(INDEX(Parceiros!$E$5:$E$54,MATCH(H91,Parceiros!$A$5:$A$54,0)),0))</f>
        <v/>
      </c>
      <c r="N91" s="36">
        <f>IF(OR(H91="",I91="",K91="Cancelado"),0,I91*N(M91))</f>
        <v/>
      </c>
      <c r="O91" s="37">
        <f>IF(ISNUMBER(A91),MONTH(A91),"")</f>
        <v/>
      </c>
      <c r="P91" s="37">
        <f>IF(ISNUMBER(A91),YEAR(A91),"")</f>
        <v/>
      </c>
    </row>
    <row r="92">
      <c r="A92" s="32" t="n"/>
      <c r="B92" s="33" t="n"/>
      <c r="C92" s="33" t="n"/>
      <c r="D92" s="33" t="n"/>
      <c r="E92" s="33" t="n"/>
      <c r="F92" s="33" t="n"/>
      <c r="G92" s="33" t="n"/>
      <c r="H92" s="33" t="n"/>
      <c r="I92" s="34" t="n"/>
      <c r="J92" s="33" t="n"/>
      <c r="K92" s="33" t="n"/>
      <c r="L92" s="33" t="n"/>
      <c r="M92" s="35">
        <f>IF(H92="","",IFERROR(INDEX(Parceiros!$E$5:$E$54,MATCH(H92,Parceiros!$A$5:$A$54,0)),0))</f>
        <v/>
      </c>
      <c r="N92" s="36">
        <f>IF(OR(H92="",I92="",K92="Cancelado"),0,I92*N(M92))</f>
        <v/>
      </c>
      <c r="O92" s="37">
        <f>IF(ISNUMBER(A92),MONTH(A92),"")</f>
        <v/>
      </c>
      <c r="P92" s="37">
        <f>IF(ISNUMBER(A92),YEAR(A92),"")</f>
        <v/>
      </c>
    </row>
    <row r="93">
      <c r="A93" s="32" t="n"/>
      <c r="B93" s="33" t="n"/>
      <c r="C93" s="33" t="n"/>
      <c r="D93" s="33" t="n"/>
      <c r="E93" s="33" t="n"/>
      <c r="F93" s="33" t="n"/>
      <c r="G93" s="33" t="n"/>
      <c r="H93" s="33" t="n"/>
      <c r="I93" s="34" t="n"/>
      <c r="J93" s="33" t="n"/>
      <c r="K93" s="33" t="n"/>
      <c r="L93" s="33" t="n"/>
      <c r="M93" s="35">
        <f>IF(H93="","",IFERROR(INDEX(Parceiros!$E$5:$E$54,MATCH(H93,Parceiros!$A$5:$A$54,0)),0))</f>
        <v/>
      </c>
      <c r="N93" s="36">
        <f>IF(OR(H93="",I93="",K93="Cancelado"),0,I93*N(M93))</f>
        <v/>
      </c>
      <c r="O93" s="37">
        <f>IF(ISNUMBER(A93),MONTH(A93),"")</f>
        <v/>
      </c>
      <c r="P93" s="37">
        <f>IF(ISNUMBER(A93),YEAR(A93),"")</f>
        <v/>
      </c>
    </row>
    <row r="94">
      <c r="A94" s="32" t="n"/>
      <c r="B94" s="33" t="n"/>
      <c r="C94" s="33" t="n"/>
      <c r="D94" s="33" t="n"/>
      <c r="E94" s="33" t="n"/>
      <c r="F94" s="33" t="n"/>
      <c r="G94" s="33" t="n"/>
      <c r="H94" s="33" t="n"/>
      <c r="I94" s="34" t="n"/>
      <c r="J94" s="33" t="n"/>
      <c r="K94" s="33" t="n"/>
      <c r="L94" s="33" t="n"/>
      <c r="M94" s="35">
        <f>IF(H94="","",IFERROR(INDEX(Parceiros!$E$5:$E$54,MATCH(H94,Parceiros!$A$5:$A$54,0)),0))</f>
        <v/>
      </c>
      <c r="N94" s="36">
        <f>IF(OR(H94="",I94="",K94="Cancelado"),0,I94*N(M94))</f>
        <v/>
      </c>
      <c r="O94" s="37">
        <f>IF(ISNUMBER(A94),MONTH(A94),"")</f>
        <v/>
      </c>
      <c r="P94" s="37">
        <f>IF(ISNUMBER(A94),YEAR(A94),"")</f>
        <v/>
      </c>
    </row>
    <row r="95">
      <c r="A95" s="32" t="n"/>
      <c r="B95" s="33" t="n"/>
      <c r="C95" s="33" t="n"/>
      <c r="D95" s="33" t="n"/>
      <c r="E95" s="33" t="n"/>
      <c r="F95" s="33" t="n"/>
      <c r="G95" s="33" t="n"/>
      <c r="H95" s="33" t="n"/>
      <c r="I95" s="34" t="n"/>
      <c r="J95" s="33" t="n"/>
      <c r="K95" s="33" t="n"/>
      <c r="L95" s="33" t="n"/>
      <c r="M95" s="35">
        <f>IF(H95="","",IFERROR(INDEX(Parceiros!$E$5:$E$54,MATCH(H95,Parceiros!$A$5:$A$54,0)),0))</f>
        <v/>
      </c>
      <c r="N95" s="36">
        <f>IF(OR(H95="",I95="",K95="Cancelado"),0,I95*N(M95))</f>
        <v/>
      </c>
      <c r="O95" s="37">
        <f>IF(ISNUMBER(A95),MONTH(A95),"")</f>
        <v/>
      </c>
      <c r="P95" s="37">
        <f>IF(ISNUMBER(A95),YEAR(A95),"")</f>
        <v/>
      </c>
    </row>
    <row r="96">
      <c r="A96" s="32" t="n"/>
      <c r="B96" s="33" t="n"/>
      <c r="C96" s="33" t="n"/>
      <c r="D96" s="33" t="n"/>
      <c r="E96" s="33" t="n"/>
      <c r="F96" s="33" t="n"/>
      <c r="G96" s="33" t="n"/>
      <c r="H96" s="33" t="n"/>
      <c r="I96" s="34" t="n"/>
      <c r="J96" s="33" t="n"/>
      <c r="K96" s="33" t="n"/>
      <c r="L96" s="33" t="n"/>
      <c r="M96" s="35">
        <f>IF(H96="","",IFERROR(INDEX(Parceiros!$E$5:$E$54,MATCH(H96,Parceiros!$A$5:$A$54,0)),0))</f>
        <v/>
      </c>
      <c r="N96" s="36">
        <f>IF(OR(H96="",I96="",K96="Cancelado"),0,I96*N(M96))</f>
        <v/>
      </c>
      <c r="O96" s="37">
        <f>IF(ISNUMBER(A96),MONTH(A96),"")</f>
        <v/>
      </c>
      <c r="P96" s="37">
        <f>IF(ISNUMBER(A96),YEAR(A96),"")</f>
        <v/>
      </c>
    </row>
    <row r="97">
      <c r="A97" s="32" t="n"/>
      <c r="B97" s="33" t="n"/>
      <c r="C97" s="33" t="n"/>
      <c r="D97" s="33" t="n"/>
      <c r="E97" s="33" t="n"/>
      <c r="F97" s="33" t="n"/>
      <c r="G97" s="33" t="n"/>
      <c r="H97" s="33" t="n"/>
      <c r="I97" s="34" t="n"/>
      <c r="J97" s="33" t="n"/>
      <c r="K97" s="33" t="n"/>
      <c r="L97" s="33" t="n"/>
      <c r="M97" s="35">
        <f>IF(H97="","",IFERROR(INDEX(Parceiros!$E$5:$E$54,MATCH(H97,Parceiros!$A$5:$A$54,0)),0))</f>
        <v/>
      </c>
      <c r="N97" s="36">
        <f>IF(OR(H97="",I97="",K97="Cancelado"),0,I97*N(M97))</f>
        <v/>
      </c>
      <c r="O97" s="37">
        <f>IF(ISNUMBER(A97),MONTH(A97),"")</f>
        <v/>
      </c>
      <c r="P97" s="37">
        <f>IF(ISNUMBER(A97),YEAR(A97),"")</f>
        <v/>
      </c>
    </row>
    <row r="98">
      <c r="A98" s="32" t="n"/>
      <c r="B98" s="33" t="n"/>
      <c r="C98" s="33" t="n"/>
      <c r="D98" s="33" t="n"/>
      <c r="E98" s="33" t="n"/>
      <c r="F98" s="33" t="n"/>
      <c r="G98" s="33" t="n"/>
      <c r="H98" s="33" t="n"/>
      <c r="I98" s="34" t="n"/>
      <c r="J98" s="33" t="n"/>
      <c r="K98" s="33" t="n"/>
      <c r="L98" s="33" t="n"/>
      <c r="M98" s="35">
        <f>IF(H98="","",IFERROR(INDEX(Parceiros!$E$5:$E$54,MATCH(H98,Parceiros!$A$5:$A$54,0)),0))</f>
        <v/>
      </c>
      <c r="N98" s="36">
        <f>IF(OR(H98="",I98="",K98="Cancelado"),0,I98*N(M98))</f>
        <v/>
      </c>
      <c r="O98" s="37">
        <f>IF(ISNUMBER(A98),MONTH(A98),"")</f>
        <v/>
      </c>
      <c r="P98" s="37">
        <f>IF(ISNUMBER(A98),YEAR(A98),"")</f>
        <v/>
      </c>
    </row>
    <row r="99">
      <c r="A99" s="32" t="n"/>
      <c r="B99" s="33" t="n"/>
      <c r="C99" s="33" t="n"/>
      <c r="D99" s="33" t="n"/>
      <c r="E99" s="33" t="n"/>
      <c r="F99" s="33" t="n"/>
      <c r="G99" s="33" t="n"/>
      <c r="H99" s="33" t="n"/>
      <c r="I99" s="34" t="n"/>
      <c r="J99" s="33" t="n"/>
      <c r="K99" s="33" t="n"/>
      <c r="L99" s="33" t="n"/>
      <c r="M99" s="35">
        <f>IF(H99="","",IFERROR(INDEX(Parceiros!$E$5:$E$54,MATCH(H99,Parceiros!$A$5:$A$54,0)),0))</f>
        <v/>
      </c>
      <c r="N99" s="36">
        <f>IF(OR(H99="",I99="",K99="Cancelado"),0,I99*N(M99))</f>
        <v/>
      </c>
      <c r="O99" s="37">
        <f>IF(ISNUMBER(A99),MONTH(A99),"")</f>
        <v/>
      </c>
      <c r="P99" s="37">
        <f>IF(ISNUMBER(A99),YEAR(A99),"")</f>
        <v/>
      </c>
    </row>
    <row r="100">
      <c r="A100" s="32" t="n"/>
      <c r="B100" s="33" t="n"/>
      <c r="C100" s="33" t="n"/>
      <c r="D100" s="33" t="n"/>
      <c r="E100" s="33" t="n"/>
      <c r="F100" s="33" t="n"/>
      <c r="G100" s="33" t="n"/>
      <c r="H100" s="33" t="n"/>
      <c r="I100" s="34" t="n"/>
      <c r="J100" s="33" t="n"/>
      <c r="K100" s="33" t="n"/>
      <c r="L100" s="33" t="n"/>
      <c r="M100" s="35">
        <f>IF(H100="","",IFERROR(INDEX(Parceiros!$E$5:$E$54,MATCH(H100,Parceiros!$A$5:$A$54,0)),0))</f>
        <v/>
      </c>
      <c r="N100" s="36">
        <f>IF(OR(H100="",I100="",K100="Cancelado"),0,I100*N(M100))</f>
        <v/>
      </c>
      <c r="O100" s="37">
        <f>IF(ISNUMBER(A100),MONTH(A100),"")</f>
        <v/>
      </c>
      <c r="P100" s="37">
        <f>IF(ISNUMBER(A100),YEAR(A100),"")</f>
        <v/>
      </c>
    </row>
    <row r="101">
      <c r="A101" s="32" t="n"/>
      <c r="B101" s="33" t="n"/>
      <c r="C101" s="33" t="n"/>
      <c r="D101" s="33" t="n"/>
      <c r="E101" s="33" t="n"/>
      <c r="F101" s="33" t="n"/>
      <c r="G101" s="33" t="n"/>
      <c r="H101" s="33" t="n"/>
      <c r="I101" s="34" t="n"/>
      <c r="J101" s="33" t="n"/>
      <c r="K101" s="33" t="n"/>
      <c r="L101" s="33" t="n"/>
      <c r="M101" s="35">
        <f>IF(H101="","",IFERROR(INDEX(Parceiros!$E$5:$E$54,MATCH(H101,Parceiros!$A$5:$A$54,0)),0))</f>
        <v/>
      </c>
      <c r="N101" s="36">
        <f>IF(OR(H101="",I101="",K101="Cancelado"),0,I101*N(M101))</f>
        <v/>
      </c>
      <c r="O101" s="37">
        <f>IF(ISNUMBER(A101),MONTH(A101),"")</f>
        <v/>
      </c>
      <c r="P101" s="37">
        <f>IF(ISNUMBER(A101),YEAR(A101),"")</f>
        <v/>
      </c>
    </row>
    <row r="102">
      <c r="A102" s="32" t="n"/>
      <c r="B102" s="33" t="n"/>
      <c r="C102" s="33" t="n"/>
      <c r="D102" s="33" t="n"/>
      <c r="E102" s="33" t="n"/>
      <c r="F102" s="33" t="n"/>
      <c r="G102" s="33" t="n"/>
      <c r="H102" s="33" t="n"/>
      <c r="I102" s="34" t="n"/>
      <c r="J102" s="33" t="n"/>
      <c r="K102" s="33" t="n"/>
      <c r="L102" s="33" t="n"/>
      <c r="M102" s="35">
        <f>IF(H102="","",IFERROR(INDEX(Parceiros!$E$5:$E$54,MATCH(H102,Parceiros!$A$5:$A$54,0)),0))</f>
        <v/>
      </c>
      <c r="N102" s="36">
        <f>IF(OR(H102="",I102="",K102="Cancelado"),0,I102*N(M102))</f>
        <v/>
      </c>
      <c r="O102" s="37">
        <f>IF(ISNUMBER(A102),MONTH(A102),"")</f>
        <v/>
      </c>
      <c r="P102" s="37">
        <f>IF(ISNUMBER(A102),YEAR(A102),"")</f>
        <v/>
      </c>
    </row>
    <row r="103">
      <c r="A103" s="32" t="n"/>
      <c r="B103" s="33" t="n"/>
      <c r="C103" s="33" t="n"/>
      <c r="D103" s="33" t="n"/>
      <c r="E103" s="33" t="n"/>
      <c r="F103" s="33" t="n"/>
      <c r="G103" s="33" t="n"/>
      <c r="H103" s="33" t="n"/>
      <c r="I103" s="34" t="n"/>
      <c r="J103" s="33" t="n"/>
      <c r="K103" s="33" t="n"/>
      <c r="L103" s="33" t="n"/>
      <c r="M103" s="35">
        <f>IF(H103="","",IFERROR(INDEX(Parceiros!$E$5:$E$54,MATCH(H103,Parceiros!$A$5:$A$54,0)),0))</f>
        <v/>
      </c>
      <c r="N103" s="36">
        <f>IF(OR(H103="",I103="",K103="Cancelado"),0,I103*N(M103))</f>
        <v/>
      </c>
      <c r="O103" s="37">
        <f>IF(ISNUMBER(A103),MONTH(A103),"")</f>
        <v/>
      </c>
      <c r="P103" s="37">
        <f>IF(ISNUMBER(A103),YEAR(A103),"")</f>
        <v/>
      </c>
    </row>
    <row r="104">
      <c r="A104" s="32" t="n"/>
      <c r="B104" s="33" t="n"/>
      <c r="C104" s="33" t="n"/>
      <c r="D104" s="33" t="n"/>
      <c r="E104" s="33" t="n"/>
      <c r="F104" s="33" t="n"/>
      <c r="G104" s="33" t="n"/>
      <c r="H104" s="33" t="n"/>
      <c r="I104" s="34" t="n"/>
      <c r="J104" s="33" t="n"/>
      <c r="K104" s="33" t="n"/>
      <c r="L104" s="33" t="n"/>
      <c r="M104" s="35">
        <f>IF(H104="","",IFERROR(INDEX(Parceiros!$E$5:$E$54,MATCH(H104,Parceiros!$A$5:$A$54,0)),0))</f>
        <v/>
      </c>
      <c r="N104" s="36">
        <f>IF(OR(H104="",I104="",K104="Cancelado"),0,I104*N(M104))</f>
        <v/>
      </c>
      <c r="O104" s="37">
        <f>IF(ISNUMBER(A104),MONTH(A104),"")</f>
        <v/>
      </c>
      <c r="P104" s="37">
        <f>IF(ISNUMBER(A104),YEAR(A104),"")</f>
        <v/>
      </c>
    </row>
    <row r="105">
      <c r="A105" s="32" t="n"/>
      <c r="B105" s="33" t="n"/>
      <c r="C105" s="33" t="n"/>
      <c r="D105" s="33" t="n"/>
      <c r="E105" s="33" t="n"/>
      <c r="F105" s="33" t="n"/>
      <c r="G105" s="33" t="n"/>
      <c r="H105" s="33" t="n"/>
      <c r="I105" s="34" t="n"/>
      <c r="J105" s="33" t="n"/>
      <c r="K105" s="33" t="n"/>
      <c r="L105" s="33" t="n"/>
      <c r="M105" s="35">
        <f>IF(H105="","",IFERROR(INDEX(Parceiros!$E$5:$E$54,MATCH(H105,Parceiros!$A$5:$A$54,0)),0))</f>
        <v/>
      </c>
      <c r="N105" s="36">
        <f>IF(OR(H105="",I105="",K105="Cancelado"),0,I105*N(M105))</f>
        <v/>
      </c>
      <c r="O105" s="37">
        <f>IF(ISNUMBER(A105),MONTH(A105),"")</f>
        <v/>
      </c>
      <c r="P105" s="37">
        <f>IF(ISNUMBER(A105),YEAR(A105),"")</f>
        <v/>
      </c>
    </row>
    <row r="106">
      <c r="A106" s="32" t="n"/>
      <c r="B106" s="33" t="n"/>
      <c r="C106" s="33" t="n"/>
      <c r="D106" s="33" t="n"/>
      <c r="E106" s="33" t="n"/>
      <c r="F106" s="33" t="n"/>
      <c r="G106" s="33" t="n"/>
      <c r="H106" s="33" t="n"/>
      <c r="I106" s="34" t="n"/>
      <c r="J106" s="33" t="n"/>
      <c r="K106" s="33" t="n"/>
      <c r="L106" s="33" t="n"/>
      <c r="M106" s="35">
        <f>IF(H106="","",IFERROR(INDEX(Parceiros!$E$5:$E$54,MATCH(H106,Parceiros!$A$5:$A$54,0)),0))</f>
        <v/>
      </c>
      <c r="N106" s="36">
        <f>IF(OR(H106="",I106="",K106="Cancelado"),0,I106*N(M106))</f>
        <v/>
      </c>
      <c r="O106" s="37">
        <f>IF(ISNUMBER(A106),MONTH(A106),"")</f>
        <v/>
      </c>
      <c r="P106" s="37">
        <f>IF(ISNUMBER(A106),YEAR(A106),"")</f>
        <v/>
      </c>
    </row>
    <row r="107">
      <c r="A107" s="32" t="n"/>
      <c r="B107" s="33" t="n"/>
      <c r="C107" s="33" t="n"/>
      <c r="D107" s="33" t="n"/>
      <c r="E107" s="33" t="n"/>
      <c r="F107" s="33" t="n"/>
      <c r="G107" s="33" t="n"/>
      <c r="H107" s="33" t="n"/>
      <c r="I107" s="34" t="n"/>
      <c r="J107" s="33" t="n"/>
      <c r="K107" s="33" t="n"/>
      <c r="L107" s="33" t="n"/>
      <c r="M107" s="35">
        <f>IF(H107="","",IFERROR(INDEX(Parceiros!$E$5:$E$54,MATCH(H107,Parceiros!$A$5:$A$54,0)),0))</f>
        <v/>
      </c>
      <c r="N107" s="36">
        <f>IF(OR(H107="",I107="",K107="Cancelado"),0,I107*N(M107))</f>
        <v/>
      </c>
      <c r="O107" s="37">
        <f>IF(ISNUMBER(A107),MONTH(A107),"")</f>
        <v/>
      </c>
      <c r="P107" s="37">
        <f>IF(ISNUMBER(A107),YEAR(A107),"")</f>
        <v/>
      </c>
    </row>
    <row r="108">
      <c r="A108" s="32" t="n"/>
      <c r="B108" s="33" t="n"/>
      <c r="C108" s="33" t="n"/>
      <c r="D108" s="33" t="n"/>
      <c r="E108" s="33" t="n"/>
      <c r="F108" s="33" t="n"/>
      <c r="G108" s="33" t="n"/>
      <c r="H108" s="33" t="n"/>
      <c r="I108" s="34" t="n"/>
      <c r="J108" s="33" t="n"/>
      <c r="K108" s="33" t="n"/>
      <c r="L108" s="33" t="n"/>
      <c r="M108" s="35">
        <f>IF(H108="","",IFERROR(INDEX(Parceiros!$E$5:$E$54,MATCH(H108,Parceiros!$A$5:$A$54,0)),0))</f>
        <v/>
      </c>
      <c r="N108" s="36">
        <f>IF(OR(H108="",I108="",K108="Cancelado"),0,I108*N(M108))</f>
        <v/>
      </c>
      <c r="O108" s="37">
        <f>IF(ISNUMBER(A108),MONTH(A108),"")</f>
        <v/>
      </c>
      <c r="P108" s="37">
        <f>IF(ISNUMBER(A108),YEAR(A108),"")</f>
        <v/>
      </c>
    </row>
    <row r="109">
      <c r="A109" s="32" t="n"/>
      <c r="B109" s="33" t="n"/>
      <c r="C109" s="33" t="n"/>
      <c r="D109" s="33" t="n"/>
      <c r="E109" s="33" t="n"/>
      <c r="F109" s="33" t="n"/>
      <c r="G109" s="33" t="n"/>
      <c r="H109" s="33" t="n"/>
      <c r="I109" s="34" t="n"/>
      <c r="J109" s="33" t="n"/>
      <c r="K109" s="33" t="n"/>
      <c r="L109" s="33" t="n"/>
      <c r="M109" s="35">
        <f>IF(H109="","",IFERROR(INDEX(Parceiros!$E$5:$E$54,MATCH(H109,Parceiros!$A$5:$A$54,0)),0))</f>
        <v/>
      </c>
      <c r="N109" s="36">
        <f>IF(OR(H109="",I109="",K109="Cancelado"),0,I109*N(M109))</f>
        <v/>
      </c>
      <c r="O109" s="37">
        <f>IF(ISNUMBER(A109),MONTH(A109),"")</f>
        <v/>
      </c>
      <c r="P109" s="37">
        <f>IF(ISNUMBER(A109),YEAR(A109),"")</f>
        <v/>
      </c>
    </row>
    <row r="110">
      <c r="A110" s="32" t="n"/>
      <c r="B110" s="33" t="n"/>
      <c r="C110" s="33" t="n"/>
      <c r="D110" s="33" t="n"/>
      <c r="E110" s="33" t="n"/>
      <c r="F110" s="33" t="n"/>
      <c r="G110" s="33" t="n"/>
      <c r="H110" s="33" t="n"/>
      <c r="I110" s="34" t="n"/>
      <c r="J110" s="33" t="n"/>
      <c r="K110" s="33" t="n"/>
      <c r="L110" s="33" t="n"/>
      <c r="M110" s="35">
        <f>IF(H110="","",IFERROR(INDEX(Parceiros!$E$5:$E$54,MATCH(H110,Parceiros!$A$5:$A$54,0)),0))</f>
        <v/>
      </c>
      <c r="N110" s="36">
        <f>IF(OR(H110="",I110="",K110="Cancelado"),0,I110*N(M110))</f>
        <v/>
      </c>
      <c r="O110" s="37">
        <f>IF(ISNUMBER(A110),MONTH(A110),"")</f>
        <v/>
      </c>
      <c r="P110" s="37">
        <f>IF(ISNUMBER(A110),YEAR(A110),"")</f>
        <v/>
      </c>
    </row>
    <row r="111">
      <c r="A111" s="32" t="n"/>
      <c r="B111" s="33" t="n"/>
      <c r="C111" s="33" t="n"/>
      <c r="D111" s="33" t="n"/>
      <c r="E111" s="33" t="n"/>
      <c r="F111" s="33" t="n"/>
      <c r="G111" s="33" t="n"/>
      <c r="H111" s="33" t="n"/>
      <c r="I111" s="34" t="n"/>
      <c r="J111" s="33" t="n"/>
      <c r="K111" s="33" t="n"/>
      <c r="L111" s="33" t="n"/>
      <c r="M111" s="35">
        <f>IF(H111="","",IFERROR(INDEX(Parceiros!$E$5:$E$54,MATCH(H111,Parceiros!$A$5:$A$54,0)),0))</f>
        <v/>
      </c>
      <c r="N111" s="36">
        <f>IF(OR(H111="",I111="",K111="Cancelado"),0,I111*N(M111))</f>
        <v/>
      </c>
      <c r="O111" s="37">
        <f>IF(ISNUMBER(A111),MONTH(A111),"")</f>
        <v/>
      </c>
      <c r="P111" s="37">
        <f>IF(ISNUMBER(A111),YEAR(A111),"")</f>
        <v/>
      </c>
    </row>
    <row r="112">
      <c r="A112" s="32" t="n"/>
      <c r="B112" s="33" t="n"/>
      <c r="C112" s="33" t="n"/>
      <c r="D112" s="33" t="n"/>
      <c r="E112" s="33" t="n"/>
      <c r="F112" s="33" t="n"/>
      <c r="G112" s="33" t="n"/>
      <c r="H112" s="33" t="n"/>
      <c r="I112" s="34" t="n"/>
      <c r="J112" s="33" t="n"/>
      <c r="K112" s="33" t="n"/>
      <c r="L112" s="33" t="n"/>
      <c r="M112" s="35">
        <f>IF(H112="","",IFERROR(INDEX(Parceiros!$E$5:$E$54,MATCH(H112,Parceiros!$A$5:$A$54,0)),0))</f>
        <v/>
      </c>
      <c r="N112" s="36">
        <f>IF(OR(H112="",I112="",K112="Cancelado"),0,I112*N(M112))</f>
        <v/>
      </c>
      <c r="O112" s="37">
        <f>IF(ISNUMBER(A112),MONTH(A112),"")</f>
        <v/>
      </c>
      <c r="P112" s="37">
        <f>IF(ISNUMBER(A112),YEAR(A112),"")</f>
        <v/>
      </c>
    </row>
    <row r="113">
      <c r="A113" s="32" t="n"/>
      <c r="B113" s="33" t="n"/>
      <c r="C113" s="33" t="n"/>
      <c r="D113" s="33" t="n"/>
      <c r="E113" s="33" t="n"/>
      <c r="F113" s="33" t="n"/>
      <c r="G113" s="33" t="n"/>
      <c r="H113" s="33" t="n"/>
      <c r="I113" s="34" t="n"/>
      <c r="J113" s="33" t="n"/>
      <c r="K113" s="33" t="n"/>
      <c r="L113" s="33" t="n"/>
      <c r="M113" s="35">
        <f>IF(H113="","",IFERROR(INDEX(Parceiros!$E$5:$E$54,MATCH(H113,Parceiros!$A$5:$A$54,0)),0))</f>
        <v/>
      </c>
      <c r="N113" s="36">
        <f>IF(OR(H113="",I113="",K113="Cancelado"),0,I113*N(M113))</f>
        <v/>
      </c>
      <c r="O113" s="37">
        <f>IF(ISNUMBER(A113),MONTH(A113),"")</f>
        <v/>
      </c>
      <c r="P113" s="37">
        <f>IF(ISNUMBER(A113),YEAR(A113),"")</f>
        <v/>
      </c>
    </row>
    <row r="114">
      <c r="A114" s="32" t="n"/>
      <c r="B114" s="33" t="n"/>
      <c r="C114" s="33" t="n"/>
      <c r="D114" s="33" t="n"/>
      <c r="E114" s="33" t="n"/>
      <c r="F114" s="33" t="n"/>
      <c r="G114" s="33" t="n"/>
      <c r="H114" s="33" t="n"/>
      <c r="I114" s="34" t="n"/>
      <c r="J114" s="33" t="n"/>
      <c r="K114" s="33" t="n"/>
      <c r="L114" s="33" t="n"/>
      <c r="M114" s="35">
        <f>IF(H114="","",IFERROR(INDEX(Parceiros!$E$5:$E$54,MATCH(H114,Parceiros!$A$5:$A$54,0)),0))</f>
        <v/>
      </c>
      <c r="N114" s="36">
        <f>IF(OR(H114="",I114="",K114="Cancelado"),0,I114*N(M114))</f>
        <v/>
      </c>
      <c r="O114" s="37">
        <f>IF(ISNUMBER(A114),MONTH(A114),"")</f>
        <v/>
      </c>
      <c r="P114" s="37">
        <f>IF(ISNUMBER(A114),YEAR(A114),"")</f>
        <v/>
      </c>
    </row>
    <row r="115">
      <c r="A115" s="32" t="n"/>
      <c r="B115" s="33" t="n"/>
      <c r="C115" s="33" t="n"/>
      <c r="D115" s="33" t="n"/>
      <c r="E115" s="33" t="n"/>
      <c r="F115" s="33" t="n"/>
      <c r="G115" s="33" t="n"/>
      <c r="H115" s="33" t="n"/>
      <c r="I115" s="34" t="n"/>
      <c r="J115" s="33" t="n"/>
      <c r="K115" s="33" t="n"/>
      <c r="L115" s="33" t="n"/>
      <c r="M115" s="35">
        <f>IF(H115="","",IFERROR(INDEX(Parceiros!$E$5:$E$54,MATCH(H115,Parceiros!$A$5:$A$54,0)),0))</f>
        <v/>
      </c>
      <c r="N115" s="36">
        <f>IF(OR(H115="",I115="",K115="Cancelado"),0,I115*N(M115))</f>
        <v/>
      </c>
      <c r="O115" s="37">
        <f>IF(ISNUMBER(A115),MONTH(A115),"")</f>
        <v/>
      </c>
      <c r="P115" s="37">
        <f>IF(ISNUMBER(A115),YEAR(A115),"")</f>
        <v/>
      </c>
    </row>
    <row r="116">
      <c r="A116" s="32" t="n"/>
      <c r="B116" s="33" t="n"/>
      <c r="C116" s="33" t="n"/>
      <c r="D116" s="33" t="n"/>
      <c r="E116" s="33" t="n"/>
      <c r="F116" s="33" t="n"/>
      <c r="G116" s="33" t="n"/>
      <c r="H116" s="33" t="n"/>
      <c r="I116" s="34" t="n"/>
      <c r="J116" s="33" t="n"/>
      <c r="K116" s="33" t="n"/>
      <c r="L116" s="33" t="n"/>
      <c r="M116" s="35">
        <f>IF(H116="","",IFERROR(INDEX(Parceiros!$E$5:$E$54,MATCH(H116,Parceiros!$A$5:$A$54,0)),0))</f>
        <v/>
      </c>
      <c r="N116" s="36">
        <f>IF(OR(H116="",I116="",K116="Cancelado"),0,I116*N(M116))</f>
        <v/>
      </c>
      <c r="O116" s="37">
        <f>IF(ISNUMBER(A116),MONTH(A116),"")</f>
        <v/>
      </c>
      <c r="P116" s="37">
        <f>IF(ISNUMBER(A116),YEAR(A116),"")</f>
        <v/>
      </c>
    </row>
    <row r="117">
      <c r="A117" s="32" t="n"/>
      <c r="B117" s="33" t="n"/>
      <c r="C117" s="33" t="n"/>
      <c r="D117" s="33" t="n"/>
      <c r="E117" s="33" t="n"/>
      <c r="F117" s="33" t="n"/>
      <c r="G117" s="33" t="n"/>
      <c r="H117" s="33" t="n"/>
      <c r="I117" s="34" t="n"/>
      <c r="J117" s="33" t="n"/>
      <c r="K117" s="33" t="n"/>
      <c r="L117" s="33" t="n"/>
      <c r="M117" s="35">
        <f>IF(H117="","",IFERROR(INDEX(Parceiros!$E$5:$E$54,MATCH(H117,Parceiros!$A$5:$A$54,0)),0))</f>
        <v/>
      </c>
      <c r="N117" s="36">
        <f>IF(OR(H117="",I117="",K117="Cancelado"),0,I117*N(M117))</f>
        <v/>
      </c>
      <c r="O117" s="37">
        <f>IF(ISNUMBER(A117),MONTH(A117),"")</f>
        <v/>
      </c>
      <c r="P117" s="37">
        <f>IF(ISNUMBER(A117),YEAR(A117),"")</f>
        <v/>
      </c>
    </row>
    <row r="118">
      <c r="A118" s="32" t="n"/>
      <c r="B118" s="33" t="n"/>
      <c r="C118" s="33" t="n"/>
      <c r="D118" s="33" t="n"/>
      <c r="E118" s="33" t="n"/>
      <c r="F118" s="33" t="n"/>
      <c r="G118" s="33" t="n"/>
      <c r="H118" s="33" t="n"/>
      <c r="I118" s="34" t="n"/>
      <c r="J118" s="33" t="n"/>
      <c r="K118" s="33" t="n"/>
      <c r="L118" s="33" t="n"/>
      <c r="M118" s="35">
        <f>IF(H118="","",IFERROR(INDEX(Parceiros!$E$5:$E$54,MATCH(H118,Parceiros!$A$5:$A$54,0)),0))</f>
        <v/>
      </c>
      <c r="N118" s="36">
        <f>IF(OR(H118="",I118="",K118="Cancelado"),0,I118*N(M118))</f>
        <v/>
      </c>
      <c r="O118" s="37">
        <f>IF(ISNUMBER(A118),MONTH(A118),"")</f>
        <v/>
      </c>
      <c r="P118" s="37">
        <f>IF(ISNUMBER(A118),YEAR(A118),"")</f>
        <v/>
      </c>
    </row>
    <row r="119">
      <c r="A119" s="32" t="n"/>
      <c r="B119" s="33" t="n"/>
      <c r="C119" s="33" t="n"/>
      <c r="D119" s="33" t="n"/>
      <c r="E119" s="33" t="n"/>
      <c r="F119" s="33" t="n"/>
      <c r="G119" s="33" t="n"/>
      <c r="H119" s="33" t="n"/>
      <c r="I119" s="34" t="n"/>
      <c r="J119" s="33" t="n"/>
      <c r="K119" s="33" t="n"/>
      <c r="L119" s="33" t="n"/>
      <c r="M119" s="35">
        <f>IF(H119="","",IFERROR(INDEX(Parceiros!$E$5:$E$54,MATCH(H119,Parceiros!$A$5:$A$54,0)),0))</f>
        <v/>
      </c>
      <c r="N119" s="36">
        <f>IF(OR(H119="",I119="",K119="Cancelado"),0,I119*N(M119))</f>
        <v/>
      </c>
      <c r="O119" s="37">
        <f>IF(ISNUMBER(A119),MONTH(A119),"")</f>
        <v/>
      </c>
      <c r="P119" s="37">
        <f>IF(ISNUMBER(A119),YEAR(A119),"")</f>
        <v/>
      </c>
    </row>
    <row r="120">
      <c r="A120" s="32" t="n"/>
      <c r="B120" s="33" t="n"/>
      <c r="C120" s="33" t="n"/>
      <c r="D120" s="33" t="n"/>
      <c r="E120" s="33" t="n"/>
      <c r="F120" s="33" t="n"/>
      <c r="G120" s="33" t="n"/>
      <c r="H120" s="33" t="n"/>
      <c r="I120" s="34" t="n"/>
      <c r="J120" s="33" t="n"/>
      <c r="K120" s="33" t="n"/>
      <c r="L120" s="33" t="n"/>
      <c r="M120" s="35">
        <f>IF(H120="","",IFERROR(INDEX(Parceiros!$E$5:$E$54,MATCH(H120,Parceiros!$A$5:$A$54,0)),0))</f>
        <v/>
      </c>
      <c r="N120" s="36">
        <f>IF(OR(H120="",I120="",K120="Cancelado"),0,I120*N(M120))</f>
        <v/>
      </c>
      <c r="O120" s="37">
        <f>IF(ISNUMBER(A120),MONTH(A120),"")</f>
        <v/>
      </c>
      <c r="P120" s="37">
        <f>IF(ISNUMBER(A120),YEAR(A120),"")</f>
        <v/>
      </c>
    </row>
    <row r="121">
      <c r="A121" s="32" t="n"/>
      <c r="B121" s="33" t="n"/>
      <c r="C121" s="33" t="n"/>
      <c r="D121" s="33" t="n"/>
      <c r="E121" s="33" t="n"/>
      <c r="F121" s="33" t="n"/>
      <c r="G121" s="33" t="n"/>
      <c r="H121" s="33" t="n"/>
      <c r="I121" s="34" t="n"/>
      <c r="J121" s="33" t="n"/>
      <c r="K121" s="33" t="n"/>
      <c r="L121" s="33" t="n"/>
      <c r="M121" s="35">
        <f>IF(H121="","",IFERROR(INDEX(Parceiros!$E$5:$E$54,MATCH(H121,Parceiros!$A$5:$A$54,0)),0))</f>
        <v/>
      </c>
      <c r="N121" s="36">
        <f>IF(OR(H121="",I121="",K121="Cancelado"),0,I121*N(M121))</f>
        <v/>
      </c>
      <c r="O121" s="37">
        <f>IF(ISNUMBER(A121),MONTH(A121),"")</f>
        <v/>
      </c>
      <c r="P121" s="37">
        <f>IF(ISNUMBER(A121),YEAR(A121),"")</f>
        <v/>
      </c>
    </row>
    <row r="122">
      <c r="A122" s="32" t="n"/>
      <c r="B122" s="33" t="n"/>
      <c r="C122" s="33" t="n"/>
      <c r="D122" s="33" t="n"/>
      <c r="E122" s="33" t="n"/>
      <c r="F122" s="33" t="n"/>
      <c r="G122" s="33" t="n"/>
      <c r="H122" s="33" t="n"/>
      <c r="I122" s="34" t="n"/>
      <c r="J122" s="33" t="n"/>
      <c r="K122" s="33" t="n"/>
      <c r="L122" s="33" t="n"/>
      <c r="M122" s="35">
        <f>IF(H122="","",IFERROR(INDEX(Parceiros!$E$5:$E$54,MATCH(H122,Parceiros!$A$5:$A$54,0)),0))</f>
        <v/>
      </c>
      <c r="N122" s="36">
        <f>IF(OR(H122="",I122="",K122="Cancelado"),0,I122*N(M122))</f>
        <v/>
      </c>
      <c r="O122" s="37">
        <f>IF(ISNUMBER(A122),MONTH(A122),"")</f>
        <v/>
      </c>
      <c r="P122" s="37">
        <f>IF(ISNUMBER(A122),YEAR(A122),"")</f>
        <v/>
      </c>
    </row>
    <row r="123">
      <c r="A123" s="32" t="n"/>
      <c r="B123" s="33" t="n"/>
      <c r="C123" s="33" t="n"/>
      <c r="D123" s="33" t="n"/>
      <c r="E123" s="33" t="n"/>
      <c r="F123" s="33" t="n"/>
      <c r="G123" s="33" t="n"/>
      <c r="H123" s="33" t="n"/>
      <c r="I123" s="34" t="n"/>
      <c r="J123" s="33" t="n"/>
      <c r="K123" s="33" t="n"/>
      <c r="L123" s="33" t="n"/>
      <c r="M123" s="35">
        <f>IF(H123="","",IFERROR(INDEX(Parceiros!$E$5:$E$54,MATCH(H123,Parceiros!$A$5:$A$54,0)),0))</f>
        <v/>
      </c>
      <c r="N123" s="36">
        <f>IF(OR(H123="",I123="",K123="Cancelado"),0,I123*N(M123))</f>
        <v/>
      </c>
      <c r="O123" s="37">
        <f>IF(ISNUMBER(A123),MONTH(A123),"")</f>
        <v/>
      </c>
      <c r="P123" s="37">
        <f>IF(ISNUMBER(A123),YEAR(A123),"")</f>
        <v/>
      </c>
    </row>
    <row r="124">
      <c r="A124" s="32" t="n"/>
      <c r="B124" s="33" t="n"/>
      <c r="C124" s="33" t="n"/>
      <c r="D124" s="33" t="n"/>
      <c r="E124" s="33" t="n"/>
      <c r="F124" s="33" t="n"/>
      <c r="G124" s="33" t="n"/>
      <c r="H124" s="33" t="n"/>
      <c r="I124" s="34" t="n"/>
      <c r="J124" s="33" t="n"/>
      <c r="K124" s="33" t="n"/>
      <c r="L124" s="33" t="n"/>
      <c r="M124" s="35">
        <f>IF(H124="","",IFERROR(INDEX(Parceiros!$E$5:$E$54,MATCH(H124,Parceiros!$A$5:$A$54,0)),0))</f>
        <v/>
      </c>
      <c r="N124" s="36">
        <f>IF(OR(H124="",I124="",K124="Cancelado"),0,I124*N(M124))</f>
        <v/>
      </c>
      <c r="O124" s="37">
        <f>IF(ISNUMBER(A124),MONTH(A124),"")</f>
        <v/>
      </c>
      <c r="P124" s="37">
        <f>IF(ISNUMBER(A124),YEAR(A124),"")</f>
        <v/>
      </c>
    </row>
    <row r="125">
      <c r="A125" s="32" t="n"/>
      <c r="B125" s="33" t="n"/>
      <c r="C125" s="33" t="n"/>
      <c r="D125" s="33" t="n"/>
      <c r="E125" s="33" t="n"/>
      <c r="F125" s="33" t="n"/>
      <c r="G125" s="33" t="n"/>
      <c r="H125" s="33" t="n"/>
      <c r="I125" s="34" t="n"/>
      <c r="J125" s="33" t="n"/>
      <c r="K125" s="33" t="n"/>
      <c r="L125" s="33" t="n"/>
      <c r="M125" s="35">
        <f>IF(H125="","",IFERROR(INDEX(Parceiros!$E$5:$E$54,MATCH(H125,Parceiros!$A$5:$A$54,0)),0))</f>
        <v/>
      </c>
      <c r="N125" s="36">
        <f>IF(OR(H125="",I125="",K125="Cancelado"),0,I125*N(M125))</f>
        <v/>
      </c>
      <c r="O125" s="37">
        <f>IF(ISNUMBER(A125),MONTH(A125),"")</f>
        <v/>
      </c>
      <c r="P125" s="37">
        <f>IF(ISNUMBER(A125),YEAR(A125),"")</f>
        <v/>
      </c>
    </row>
    <row r="126">
      <c r="A126" s="32" t="n"/>
      <c r="B126" s="33" t="n"/>
      <c r="C126" s="33" t="n"/>
      <c r="D126" s="33" t="n"/>
      <c r="E126" s="33" t="n"/>
      <c r="F126" s="33" t="n"/>
      <c r="G126" s="33" t="n"/>
      <c r="H126" s="33" t="n"/>
      <c r="I126" s="34" t="n"/>
      <c r="J126" s="33" t="n"/>
      <c r="K126" s="33" t="n"/>
      <c r="L126" s="33" t="n"/>
      <c r="M126" s="35">
        <f>IF(H126="","",IFERROR(INDEX(Parceiros!$E$5:$E$54,MATCH(H126,Parceiros!$A$5:$A$54,0)),0))</f>
        <v/>
      </c>
      <c r="N126" s="36">
        <f>IF(OR(H126="",I126="",K126="Cancelado"),0,I126*N(M126))</f>
        <v/>
      </c>
      <c r="O126" s="37">
        <f>IF(ISNUMBER(A126),MONTH(A126),"")</f>
        <v/>
      </c>
      <c r="P126" s="37">
        <f>IF(ISNUMBER(A126),YEAR(A126),"")</f>
        <v/>
      </c>
    </row>
    <row r="127">
      <c r="A127" s="32" t="n"/>
      <c r="B127" s="33" t="n"/>
      <c r="C127" s="33" t="n"/>
      <c r="D127" s="33" t="n"/>
      <c r="E127" s="33" t="n"/>
      <c r="F127" s="33" t="n"/>
      <c r="G127" s="33" t="n"/>
      <c r="H127" s="33" t="n"/>
      <c r="I127" s="34" t="n"/>
      <c r="J127" s="33" t="n"/>
      <c r="K127" s="33" t="n"/>
      <c r="L127" s="33" t="n"/>
      <c r="M127" s="35">
        <f>IF(H127="","",IFERROR(INDEX(Parceiros!$E$5:$E$54,MATCH(H127,Parceiros!$A$5:$A$54,0)),0))</f>
        <v/>
      </c>
      <c r="N127" s="36">
        <f>IF(OR(H127="",I127="",K127="Cancelado"),0,I127*N(M127))</f>
        <v/>
      </c>
      <c r="O127" s="37">
        <f>IF(ISNUMBER(A127),MONTH(A127),"")</f>
        <v/>
      </c>
      <c r="P127" s="37">
        <f>IF(ISNUMBER(A127),YEAR(A127),"")</f>
        <v/>
      </c>
    </row>
    <row r="128">
      <c r="A128" s="32" t="n"/>
      <c r="B128" s="33" t="n"/>
      <c r="C128" s="33" t="n"/>
      <c r="D128" s="33" t="n"/>
      <c r="E128" s="33" t="n"/>
      <c r="F128" s="33" t="n"/>
      <c r="G128" s="33" t="n"/>
      <c r="H128" s="33" t="n"/>
      <c r="I128" s="34" t="n"/>
      <c r="J128" s="33" t="n"/>
      <c r="K128" s="33" t="n"/>
      <c r="L128" s="33" t="n"/>
      <c r="M128" s="35">
        <f>IF(H128="","",IFERROR(INDEX(Parceiros!$E$5:$E$54,MATCH(H128,Parceiros!$A$5:$A$54,0)),0))</f>
        <v/>
      </c>
      <c r="N128" s="36">
        <f>IF(OR(H128="",I128="",K128="Cancelado"),0,I128*N(M128))</f>
        <v/>
      </c>
      <c r="O128" s="37">
        <f>IF(ISNUMBER(A128),MONTH(A128),"")</f>
        <v/>
      </c>
      <c r="P128" s="37">
        <f>IF(ISNUMBER(A128),YEAR(A128),"")</f>
        <v/>
      </c>
    </row>
    <row r="129">
      <c r="A129" s="32" t="n"/>
      <c r="B129" s="33" t="n"/>
      <c r="C129" s="33" t="n"/>
      <c r="D129" s="33" t="n"/>
      <c r="E129" s="33" t="n"/>
      <c r="F129" s="33" t="n"/>
      <c r="G129" s="33" t="n"/>
      <c r="H129" s="33" t="n"/>
      <c r="I129" s="34" t="n"/>
      <c r="J129" s="33" t="n"/>
      <c r="K129" s="33" t="n"/>
      <c r="L129" s="33" t="n"/>
      <c r="M129" s="35">
        <f>IF(H129="","",IFERROR(INDEX(Parceiros!$E$5:$E$54,MATCH(H129,Parceiros!$A$5:$A$54,0)),0))</f>
        <v/>
      </c>
      <c r="N129" s="36">
        <f>IF(OR(H129="",I129="",K129="Cancelado"),0,I129*N(M129))</f>
        <v/>
      </c>
      <c r="O129" s="37">
        <f>IF(ISNUMBER(A129),MONTH(A129),"")</f>
        <v/>
      </c>
      <c r="P129" s="37">
        <f>IF(ISNUMBER(A129),YEAR(A129),"")</f>
        <v/>
      </c>
    </row>
    <row r="130">
      <c r="A130" s="32" t="n"/>
      <c r="B130" s="33" t="n"/>
      <c r="C130" s="33" t="n"/>
      <c r="D130" s="33" t="n"/>
      <c r="E130" s="33" t="n"/>
      <c r="F130" s="33" t="n"/>
      <c r="G130" s="33" t="n"/>
      <c r="H130" s="33" t="n"/>
      <c r="I130" s="34" t="n"/>
      <c r="J130" s="33" t="n"/>
      <c r="K130" s="33" t="n"/>
      <c r="L130" s="33" t="n"/>
      <c r="M130" s="35">
        <f>IF(H130="","",IFERROR(INDEX(Parceiros!$E$5:$E$54,MATCH(H130,Parceiros!$A$5:$A$54,0)),0))</f>
        <v/>
      </c>
      <c r="N130" s="36">
        <f>IF(OR(H130="",I130="",K130="Cancelado"),0,I130*N(M130))</f>
        <v/>
      </c>
      <c r="O130" s="37">
        <f>IF(ISNUMBER(A130),MONTH(A130),"")</f>
        <v/>
      </c>
      <c r="P130" s="37">
        <f>IF(ISNUMBER(A130),YEAR(A130),"")</f>
        <v/>
      </c>
    </row>
    <row r="131">
      <c r="A131" s="32" t="n"/>
      <c r="B131" s="33" t="n"/>
      <c r="C131" s="33" t="n"/>
      <c r="D131" s="33" t="n"/>
      <c r="E131" s="33" t="n"/>
      <c r="F131" s="33" t="n"/>
      <c r="G131" s="33" t="n"/>
      <c r="H131" s="33" t="n"/>
      <c r="I131" s="34" t="n"/>
      <c r="J131" s="33" t="n"/>
      <c r="K131" s="33" t="n"/>
      <c r="L131" s="33" t="n"/>
      <c r="M131" s="35">
        <f>IF(H131="","",IFERROR(INDEX(Parceiros!$E$5:$E$54,MATCH(H131,Parceiros!$A$5:$A$54,0)),0))</f>
        <v/>
      </c>
      <c r="N131" s="36">
        <f>IF(OR(H131="",I131="",K131="Cancelado"),0,I131*N(M131))</f>
        <v/>
      </c>
      <c r="O131" s="37">
        <f>IF(ISNUMBER(A131),MONTH(A131),"")</f>
        <v/>
      </c>
      <c r="P131" s="37">
        <f>IF(ISNUMBER(A131),YEAR(A131),"")</f>
        <v/>
      </c>
    </row>
    <row r="132">
      <c r="A132" s="32" t="n"/>
      <c r="B132" s="33" t="n"/>
      <c r="C132" s="33" t="n"/>
      <c r="D132" s="33" t="n"/>
      <c r="E132" s="33" t="n"/>
      <c r="F132" s="33" t="n"/>
      <c r="G132" s="33" t="n"/>
      <c r="H132" s="33" t="n"/>
      <c r="I132" s="34" t="n"/>
      <c r="J132" s="33" t="n"/>
      <c r="K132" s="33" t="n"/>
      <c r="L132" s="33" t="n"/>
      <c r="M132" s="35">
        <f>IF(H132="","",IFERROR(INDEX(Parceiros!$E$5:$E$54,MATCH(H132,Parceiros!$A$5:$A$54,0)),0))</f>
        <v/>
      </c>
      <c r="N132" s="36">
        <f>IF(OR(H132="",I132="",K132="Cancelado"),0,I132*N(M132))</f>
        <v/>
      </c>
      <c r="O132" s="37">
        <f>IF(ISNUMBER(A132),MONTH(A132),"")</f>
        <v/>
      </c>
      <c r="P132" s="37">
        <f>IF(ISNUMBER(A132),YEAR(A132),"")</f>
        <v/>
      </c>
    </row>
    <row r="133">
      <c r="A133" s="32" t="n"/>
      <c r="B133" s="33" t="n"/>
      <c r="C133" s="33" t="n"/>
      <c r="D133" s="33" t="n"/>
      <c r="E133" s="33" t="n"/>
      <c r="F133" s="33" t="n"/>
      <c r="G133" s="33" t="n"/>
      <c r="H133" s="33" t="n"/>
      <c r="I133" s="34" t="n"/>
      <c r="J133" s="33" t="n"/>
      <c r="K133" s="33" t="n"/>
      <c r="L133" s="33" t="n"/>
      <c r="M133" s="35">
        <f>IF(H133="","",IFERROR(INDEX(Parceiros!$E$5:$E$54,MATCH(H133,Parceiros!$A$5:$A$54,0)),0))</f>
        <v/>
      </c>
      <c r="N133" s="36">
        <f>IF(OR(H133="",I133="",K133="Cancelado"),0,I133*N(M133))</f>
        <v/>
      </c>
      <c r="O133" s="37">
        <f>IF(ISNUMBER(A133),MONTH(A133),"")</f>
        <v/>
      </c>
      <c r="P133" s="37">
        <f>IF(ISNUMBER(A133),YEAR(A133),"")</f>
        <v/>
      </c>
    </row>
    <row r="134">
      <c r="A134" s="32" t="n"/>
      <c r="B134" s="33" t="n"/>
      <c r="C134" s="33" t="n"/>
      <c r="D134" s="33" t="n"/>
      <c r="E134" s="33" t="n"/>
      <c r="F134" s="33" t="n"/>
      <c r="G134" s="33" t="n"/>
      <c r="H134" s="33" t="n"/>
      <c r="I134" s="34" t="n"/>
      <c r="J134" s="33" t="n"/>
      <c r="K134" s="33" t="n"/>
      <c r="L134" s="33" t="n"/>
      <c r="M134" s="35">
        <f>IF(H134="","",IFERROR(INDEX(Parceiros!$E$5:$E$54,MATCH(H134,Parceiros!$A$5:$A$54,0)),0))</f>
        <v/>
      </c>
      <c r="N134" s="36">
        <f>IF(OR(H134="",I134="",K134="Cancelado"),0,I134*N(M134))</f>
        <v/>
      </c>
      <c r="O134" s="37">
        <f>IF(ISNUMBER(A134),MONTH(A134),"")</f>
        <v/>
      </c>
      <c r="P134" s="37">
        <f>IF(ISNUMBER(A134),YEAR(A134),"")</f>
        <v/>
      </c>
    </row>
    <row r="135">
      <c r="A135" s="32" t="n"/>
      <c r="B135" s="33" t="n"/>
      <c r="C135" s="33" t="n"/>
      <c r="D135" s="33" t="n"/>
      <c r="E135" s="33" t="n"/>
      <c r="F135" s="33" t="n"/>
      <c r="G135" s="33" t="n"/>
      <c r="H135" s="33" t="n"/>
      <c r="I135" s="34" t="n"/>
      <c r="J135" s="33" t="n"/>
      <c r="K135" s="33" t="n"/>
      <c r="L135" s="33" t="n"/>
      <c r="M135" s="35">
        <f>IF(H135="","",IFERROR(INDEX(Parceiros!$E$5:$E$54,MATCH(H135,Parceiros!$A$5:$A$54,0)),0))</f>
        <v/>
      </c>
      <c r="N135" s="36">
        <f>IF(OR(H135="",I135="",K135="Cancelado"),0,I135*N(M135))</f>
        <v/>
      </c>
      <c r="O135" s="37">
        <f>IF(ISNUMBER(A135),MONTH(A135),"")</f>
        <v/>
      </c>
      <c r="P135" s="37">
        <f>IF(ISNUMBER(A135),YEAR(A135),"")</f>
        <v/>
      </c>
    </row>
    <row r="136">
      <c r="A136" s="32" t="n"/>
      <c r="B136" s="33" t="n"/>
      <c r="C136" s="33" t="n"/>
      <c r="D136" s="33" t="n"/>
      <c r="E136" s="33" t="n"/>
      <c r="F136" s="33" t="n"/>
      <c r="G136" s="33" t="n"/>
      <c r="H136" s="33" t="n"/>
      <c r="I136" s="34" t="n"/>
      <c r="J136" s="33" t="n"/>
      <c r="K136" s="33" t="n"/>
      <c r="L136" s="33" t="n"/>
      <c r="M136" s="35">
        <f>IF(H136="","",IFERROR(INDEX(Parceiros!$E$5:$E$54,MATCH(H136,Parceiros!$A$5:$A$54,0)),0))</f>
        <v/>
      </c>
      <c r="N136" s="36">
        <f>IF(OR(H136="",I136="",K136="Cancelado"),0,I136*N(M136))</f>
        <v/>
      </c>
      <c r="O136" s="37">
        <f>IF(ISNUMBER(A136),MONTH(A136),"")</f>
        <v/>
      </c>
      <c r="P136" s="37">
        <f>IF(ISNUMBER(A136),YEAR(A136),"")</f>
        <v/>
      </c>
    </row>
    <row r="137">
      <c r="A137" s="32" t="n"/>
      <c r="B137" s="33" t="n"/>
      <c r="C137" s="33" t="n"/>
      <c r="D137" s="33" t="n"/>
      <c r="E137" s="33" t="n"/>
      <c r="F137" s="33" t="n"/>
      <c r="G137" s="33" t="n"/>
      <c r="H137" s="33" t="n"/>
      <c r="I137" s="34" t="n"/>
      <c r="J137" s="33" t="n"/>
      <c r="K137" s="33" t="n"/>
      <c r="L137" s="33" t="n"/>
      <c r="M137" s="35">
        <f>IF(H137="","",IFERROR(INDEX(Parceiros!$E$5:$E$54,MATCH(H137,Parceiros!$A$5:$A$54,0)),0))</f>
        <v/>
      </c>
      <c r="N137" s="36">
        <f>IF(OR(H137="",I137="",K137="Cancelado"),0,I137*N(M137))</f>
        <v/>
      </c>
      <c r="O137" s="37">
        <f>IF(ISNUMBER(A137),MONTH(A137),"")</f>
        <v/>
      </c>
      <c r="P137" s="37">
        <f>IF(ISNUMBER(A137),YEAR(A137),"")</f>
        <v/>
      </c>
    </row>
    <row r="138">
      <c r="A138" s="32" t="n"/>
      <c r="B138" s="33" t="n"/>
      <c r="C138" s="33" t="n"/>
      <c r="D138" s="33" t="n"/>
      <c r="E138" s="33" t="n"/>
      <c r="F138" s="33" t="n"/>
      <c r="G138" s="33" t="n"/>
      <c r="H138" s="33" t="n"/>
      <c r="I138" s="34" t="n"/>
      <c r="J138" s="33" t="n"/>
      <c r="K138" s="33" t="n"/>
      <c r="L138" s="33" t="n"/>
      <c r="M138" s="35">
        <f>IF(H138="","",IFERROR(INDEX(Parceiros!$E$5:$E$54,MATCH(H138,Parceiros!$A$5:$A$54,0)),0))</f>
        <v/>
      </c>
      <c r="N138" s="36">
        <f>IF(OR(H138="",I138="",K138="Cancelado"),0,I138*N(M138))</f>
        <v/>
      </c>
      <c r="O138" s="37">
        <f>IF(ISNUMBER(A138),MONTH(A138),"")</f>
        <v/>
      </c>
      <c r="P138" s="37">
        <f>IF(ISNUMBER(A138),YEAR(A138),"")</f>
        <v/>
      </c>
    </row>
    <row r="139">
      <c r="A139" s="32" t="n"/>
      <c r="B139" s="33" t="n"/>
      <c r="C139" s="33" t="n"/>
      <c r="D139" s="33" t="n"/>
      <c r="E139" s="33" t="n"/>
      <c r="F139" s="33" t="n"/>
      <c r="G139" s="33" t="n"/>
      <c r="H139" s="33" t="n"/>
      <c r="I139" s="34" t="n"/>
      <c r="J139" s="33" t="n"/>
      <c r="K139" s="33" t="n"/>
      <c r="L139" s="33" t="n"/>
      <c r="M139" s="35">
        <f>IF(H139="","",IFERROR(INDEX(Parceiros!$E$5:$E$54,MATCH(H139,Parceiros!$A$5:$A$54,0)),0))</f>
        <v/>
      </c>
      <c r="N139" s="36">
        <f>IF(OR(H139="",I139="",K139="Cancelado"),0,I139*N(M139))</f>
        <v/>
      </c>
      <c r="O139" s="37">
        <f>IF(ISNUMBER(A139),MONTH(A139),"")</f>
        <v/>
      </c>
      <c r="P139" s="37">
        <f>IF(ISNUMBER(A139),YEAR(A139),"")</f>
        <v/>
      </c>
    </row>
    <row r="140">
      <c r="A140" s="32" t="n"/>
      <c r="B140" s="33" t="n"/>
      <c r="C140" s="33" t="n"/>
      <c r="D140" s="33" t="n"/>
      <c r="E140" s="33" t="n"/>
      <c r="F140" s="33" t="n"/>
      <c r="G140" s="33" t="n"/>
      <c r="H140" s="33" t="n"/>
      <c r="I140" s="34" t="n"/>
      <c r="J140" s="33" t="n"/>
      <c r="K140" s="33" t="n"/>
      <c r="L140" s="33" t="n"/>
      <c r="M140" s="35">
        <f>IF(H140="","",IFERROR(INDEX(Parceiros!$E$5:$E$54,MATCH(H140,Parceiros!$A$5:$A$54,0)),0))</f>
        <v/>
      </c>
      <c r="N140" s="36">
        <f>IF(OR(H140="",I140="",K140="Cancelado"),0,I140*N(M140))</f>
        <v/>
      </c>
      <c r="O140" s="37">
        <f>IF(ISNUMBER(A140),MONTH(A140),"")</f>
        <v/>
      </c>
      <c r="P140" s="37">
        <f>IF(ISNUMBER(A140),YEAR(A140),"")</f>
        <v/>
      </c>
    </row>
    <row r="141">
      <c r="A141" s="32" t="n"/>
      <c r="B141" s="33" t="n"/>
      <c r="C141" s="33" t="n"/>
      <c r="D141" s="33" t="n"/>
      <c r="E141" s="33" t="n"/>
      <c r="F141" s="33" t="n"/>
      <c r="G141" s="33" t="n"/>
      <c r="H141" s="33" t="n"/>
      <c r="I141" s="34" t="n"/>
      <c r="J141" s="33" t="n"/>
      <c r="K141" s="33" t="n"/>
      <c r="L141" s="33" t="n"/>
      <c r="M141" s="35">
        <f>IF(H141="","",IFERROR(INDEX(Parceiros!$E$5:$E$54,MATCH(H141,Parceiros!$A$5:$A$54,0)),0))</f>
        <v/>
      </c>
      <c r="N141" s="36">
        <f>IF(OR(H141="",I141="",K141="Cancelado"),0,I141*N(M141))</f>
        <v/>
      </c>
      <c r="O141" s="37">
        <f>IF(ISNUMBER(A141),MONTH(A141),"")</f>
        <v/>
      </c>
      <c r="P141" s="37">
        <f>IF(ISNUMBER(A141),YEAR(A141),"")</f>
        <v/>
      </c>
    </row>
    <row r="142">
      <c r="A142" s="32" t="n"/>
      <c r="B142" s="33" t="n"/>
      <c r="C142" s="33" t="n"/>
      <c r="D142" s="33" t="n"/>
      <c r="E142" s="33" t="n"/>
      <c r="F142" s="33" t="n"/>
      <c r="G142" s="33" t="n"/>
      <c r="H142" s="33" t="n"/>
      <c r="I142" s="34" t="n"/>
      <c r="J142" s="33" t="n"/>
      <c r="K142" s="33" t="n"/>
      <c r="L142" s="33" t="n"/>
      <c r="M142" s="35">
        <f>IF(H142="","",IFERROR(INDEX(Parceiros!$E$5:$E$54,MATCH(H142,Parceiros!$A$5:$A$54,0)),0))</f>
        <v/>
      </c>
      <c r="N142" s="36">
        <f>IF(OR(H142="",I142="",K142="Cancelado"),0,I142*N(M142))</f>
        <v/>
      </c>
      <c r="O142" s="37">
        <f>IF(ISNUMBER(A142),MONTH(A142),"")</f>
        <v/>
      </c>
      <c r="P142" s="37">
        <f>IF(ISNUMBER(A142),YEAR(A142),"")</f>
        <v/>
      </c>
    </row>
    <row r="143">
      <c r="A143" s="32" t="n"/>
      <c r="B143" s="33" t="n"/>
      <c r="C143" s="33" t="n"/>
      <c r="D143" s="33" t="n"/>
      <c r="E143" s="33" t="n"/>
      <c r="F143" s="33" t="n"/>
      <c r="G143" s="33" t="n"/>
      <c r="H143" s="33" t="n"/>
      <c r="I143" s="34" t="n"/>
      <c r="J143" s="33" t="n"/>
      <c r="K143" s="33" t="n"/>
      <c r="L143" s="33" t="n"/>
      <c r="M143" s="35">
        <f>IF(H143="","",IFERROR(INDEX(Parceiros!$E$5:$E$54,MATCH(H143,Parceiros!$A$5:$A$54,0)),0))</f>
        <v/>
      </c>
      <c r="N143" s="36">
        <f>IF(OR(H143="",I143="",K143="Cancelado"),0,I143*N(M143))</f>
        <v/>
      </c>
      <c r="O143" s="37">
        <f>IF(ISNUMBER(A143),MONTH(A143),"")</f>
        <v/>
      </c>
      <c r="P143" s="37">
        <f>IF(ISNUMBER(A143),YEAR(A143),"")</f>
        <v/>
      </c>
    </row>
    <row r="144">
      <c r="A144" s="32" t="n"/>
      <c r="B144" s="33" t="n"/>
      <c r="C144" s="33" t="n"/>
      <c r="D144" s="33" t="n"/>
      <c r="E144" s="33" t="n"/>
      <c r="F144" s="33" t="n"/>
      <c r="G144" s="33" t="n"/>
      <c r="H144" s="33" t="n"/>
      <c r="I144" s="34" t="n"/>
      <c r="J144" s="33" t="n"/>
      <c r="K144" s="33" t="n"/>
      <c r="L144" s="33" t="n"/>
      <c r="M144" s="35">
        <f>IF(H144="","",IFERROR(INDEX(Parceiros!$E$5:$E$54,MATCH(H144,Parceiros!$A$5:$A$54,0)),0))</f>
        <v/>
      </c>
      <c r="N144" s="36">
        <f>IF(OR(H144="",I144="",K144="Cancelado"),0,I144*N(M144))</f>
        <v/>
      </c>
      <c r="O144" s="37">
        <f>IF(ISNUMBER(A144),MONTH(A144),"")</f>
        <v/>
      </c>
      <c r="P144" s="37">
        <f>IF(ISNUMBER(A144),YEAR(A144),"")</f>
        <v/>
      </c>
    </row>
    <row r="145">
      <c r="A145" s="32" t="n"/>
      <c r="B145" s="33" t="n"/>
      <c r="C145" s="33" t="n"/>
      <c r="D145" s="33" t="n"/>
      <c r="E145" s="33" t="n"/>
      <c r="F145" s="33" t="n"/>
      <c r="G145" s="33" t="n"/>
      <c r="H145" s="33" t="n"/>
      <c r="I145" s="34" t="n"/>
      <c r="J145" s="33" t="n"/>
      <c r="K145" s="33" t="n"/>
      <c r="L145" s="33" t="n"/>
      <c r="M145" s="35">
        <f>IF(H145="","",IFERROR(INDEX(Parceiros!$E$5:$E$54,MATCH(H145,Parceiros!$A$5:$A$54,0)),0))</f>
        <v/>
      </c>
      <c r="N145" s="36">
        <f>IF(OR(H145="",I145="",K145="Cancelado"),0,I145*N(M145))</f>
        <v/>
      </c>
      <c r="O145" s="37">
        <f>IF(ISNUMBER(A145),MONTH(A145),"")</f>
        <v/>
      </c>
      <c r="P145" s="37">
        <f>IF(ISNUMBER(A145),YEAR(A145),"")</f>
        <v/>
      </c>
    </row>
    <row r="146">
      <c r="A146" s="32" t="n"/>
      <c r="B146" s="33" t="n"/>
      <c r="C146" s="33" t="n"/>
      <c r="D146" s="33" t="n"/>
      <c r="E146" s="33" t="n"/>
      <c r="F146" s="33" t="n"/>
      <c r="G146" s="33" t="n"/>
      <c r="H146" s="33" t="n"/>
      <c r="I146" s="34" t="n"/>
      <c r="J146" s="33" t="n"/>
      <c r="K146" s="33" t="n"/>
      <c r="L146" s="33" t="n"/>
      <c r="M146" s="35">
        <f>IF(H146="","",IFERROR(INDEX(Parceiros!$E$5:$E$54,MATCH(H146,Parceiros!$A$5:$A$54,0)),0))</f>
        <v/>
      </c>
      <c r="N146" s="36">
        <f>IF(OR(H146="",I146="",K146="Cancelado"),0,I146*N(M146))</f>
        <v/>
      </c>
      <c r="O146" s="37">
        <f>IF(ISNUMBER(A146),MONTH(A146),"")</f>
        <v/>
      </c>
      <c r="P146" s="37">
        <f>IF(ISNUMBER(A146),YEAR(A146),"")</f>
        <v/>
      </c>
    </row>
    <row r="147">
      <c r="A147" s="32" t="n"/>
      <c r="B147" s="33" t="n"/>
      <c r="C147" s="33" t="n"/>
      <c r="D147" s="33" t="n"/>
      <c r="E147" s="33" t="n"/>
      <c r="F147" s="33" t="n"/>
      <c r="G147" s="33" t="n"/>
      <c r="H147" s="33" t="n"/>
      <c r="I147" s="34" t="n"/>
      <c r="J147" s="33" t="n"/>
      <c r="K147" s="33" t="n"/>
      <c r="L147" s="33" t="n"/>
      <c r="M147" s="35">
        <f>IF(H147="","",IFERROR(INDEX(Parceiros!$E$5:$E$54,MATCH(H147,Parceiros!$A$5:$A$54,0)),0))</f>
        <v/>
      </c>
      <c r="N147" s="36">
        <f>IF(OR(H147="",I147="",K147="Cancelado"),0,I147*N(M147))</f>
        <v/>
      </c>
      <c r="O147" s="37">
        <f>IF(ISNUMBER(A147),MONTH(A147),"")</f>
        <v/>
      </c>
      <c r="P147" s="37">
        <f>IF(ISNUMBER(A147),YEAR(A147),"")</f>
        <v/>
      </c>
    </row>
    <row r="148">
      <c r="A148" s="32" t="n"/>
      <c r="B148" s="33" t="n"/>
      <c r="C148" s="33" t="n"/>
      <c r="D148" s="33" t="n"/>
      <c r="E148" s="33" t="n"/>
      <c r="F148" s="33" t="n"/>
      <c r="G148" s="33" t="n"/>
      <c r="H148" s="33" t="n"/>
      <c r="I148" s="34" t="n"/>
      <c r="J148" s="33" t="n"/>
      <c r="K148" s="33" t="n"/>
      <c r="L148" s="33" t="n"/>
      <c r="M148" s="35">
        <f>IF(H148="","",IFERROR(INDEX(Parceiros!$E$5:$E$54,MATCH(H148,Parceiros!$A$5:$A$54,0)),0))</f>
        <v/>
      </c>
      <c r="N148" s="36">
        <f>IF(OR(H148="",I148="",K148="Cancelado"),0,I148*N(M148))</f>
        <v/>
      </c>
      <c r="O148" s="37">
        <f>IF(ISNUMBER(A148),MONTH(A148),"")</f>
        <v/>
      </c>
      <c r="P148" s="37">
        <f>IF(ISNUMBER(A148),YEAR(A148),"")</f>
        <v/>
      </c>
    </row>
    <row r="149">
      <c r="A149" s="32" t="n"/>
      <c r="B149" s="33" t="n"/>
      <c r="C149" s="33" t="n"/>
      <c r="D149" s="33" t="n"/>
      <c r="E149" s="33" t="n"/>
      <c r="F149" s="33" t="n"/>
      <c r="G149" s="33" t="n"/>
      <c r="H149" s="33" t="n"/>
      <c r="I149" s="34" t="n"/>
      <c r="J149" s="33" t="n"/>
      <c r="K149" s="33" t="n"/>
      <c r="L149" s="33" t="n"/>
      <c r="M149" s="35">
        <f>IF(H149="","",IFERROR(INDEX(Parceiros!$E$5:$E$54,MATCH(H149,Parceiros!$A$5:$A$54,0)),0))</f>
        <v/>
      </c>
      <c r="N149" s="36">
        <f>IF(OR(H149="",I149="",K149="Cancelado"),0,I149*N(M149))</f>
        <v/>
      </c>
      <c r="O149" s="37">
        <f>IF(ISNUMBER(A149),MONTH(A149),"")</f>
        <v/>
      </c>
      <c r="P149" s="37">
        <f>IF(ISNUMBER(A149),YEAR(A149),"")</f>
        <v/>
      </c>
    </row>
    <row r="150">
      <c r="A150" s="32" t="n"/>
      <c r="B150" s="33" t="n"/>
      <c r="C150" s="33" t="n"/>
      <c r="D150" s="33" t="n"/>
      <c r="E150" s="33" t="n"/>
      <c r="F150" s="33" t="n"/>
      <c r="G150" s="33" t="n"/>
      <c r="H150" s="33" t="n"/>
      <c r="I150" s="34" t="n"/>
      <c r="J150" s="33" t="n"/>
      <c r="K150" s="33" t="n"/>
      <c r="L150" s="33" t="n"/>
      <c r="M150" s="35">
        <f>IF(H150="","",IFERROR(INDEX(Parceiros!$E$5:$E$54,MATCH(H150,Parceiros!$A$5:$A$54,0)),0))</f>
        <v/>
      </c>
      <c r="N150" s="36">
        <f>IF(OR(H150="",I150="",K150="Cancelado"),0,I150*N(M150))</f>
        <v/>
      </c>
      <c r="O150" s="37">
        <f>IF(ISNUMBER(A150),MONTH(A150),"")</f>
        <v/>
      </c>
      <c r="P150" s="37">
        <f>IF(ISNUMBER(A150),YEAR(A150),"")</f>
        <v/>
      </c>
    </row>
    <row r="151">
      <c r="A151" s="32" t="n"/>
      <c r="B151" s="33" t="n"/>
      <c r="C151" s="33" t="n"/>
      <c r="D151" s="33" t="n"/>
      <c r="E151" s="33" t="n"/>
      <c r="F151" s="33" t="n"/>
      <c r="G151" s="33" t="n"/>
      <c r="H151" s="33" t="n"/>
      <c r="I151" s="34" t="n"/>
      <c r="J151" s="33" t="n"/>
      <c r="K151" s="33" t="n"/>
      <c r="L151" s="33" t="n"/>
      <c r="M151" s="35">
        <f>IF(H151="","",IFERROR(INDEX(Parceiros!$E$5:$E$54,MATCH(H151,Parceiros!$A$5:$A$54,0)),0))</f>
        <v/>
      </c>
      <c r="N151" s="36">
        <f>IF(OR(H151="",I151="",K151="Cancelado"),0,I151*N(M151))</f>
        <v/>
      </c>
      <c r="O151" s="37">
        <f>IF(ISNUMBER(A151),MONTH(A151),"")</f>
        <v/>
      </c>
      <c r="P151" s="37">
        <f>IF(ISNUMBER(A151),YEAR(A151),"")</f>
        <v/>
      </c>
    </row>
    <row r="152">
      <c r="A152" s="32" t="n"/>
      <c r="B152" s="33" t="n"/>
      <c r="C152" s="33" t="n"/>
      <c r="D152" s="33" t="n"/>
      <c r="E152" s="33" t="n"/>
      <c r="F152" s="33" t="n"/>
      <c r="G152" s="33" t="n"/>
      <c r="H152" s="33" t="n"/>
      <c r="I152" s="34" t="n"/>
      <c r="J152" s="33" t="n"/>
      <c r="K152" s="33" t="n"/>
      <c r="L152" s="33" t="n"/>
      <c r="M152" s="35">
        <f>IF(H152="","",IFERROR(INDEX(Parceiros!$E$5:$E$54,MATCH(H152,Parceiros!$A$5:$A$54,0)),0))</f>
        <v/>
      </c>
      <c r="N152" s="36">
        <f>IF(OR(H152="",I152="",K152="Cancelado"),0,I152*N(M152))</f>
        <v/>
      </c>
      <c r="O152" s="37">
        <f>IF(ISNUMBER(A152),MONTH(A152),"")</f>
        <v/>
      </c>
      <c r="P152" s="37">
        <f>IF(ISNUMBER(A152),YEAR(A152),"")</f>
        <v/>
      </c>
    </row>
    <row r="153">
      <c r="A153" s="32" t="n"/>
      <c r="B153" s="33" t="n"/>
      <c r="C153" s="33" t="n"/>
      <c r="D153" s="33" t="n"/>
      <c r="E153" s="33" t="n"/>
      <c r="F153" s="33" t="n"/>
      <c r="G153" s="33" t="n"/>
      <c r="H153" s="33" t="n"/>
      <c r="I153" s="34" t="n"/>
      <c r="J153" s="33" t="n"/>
      <c r="K153" s="33" t="n"/>
      <c r="L153" s="33" t="n"/>
      <c r="M153" s="35">
        <f>IF(H153="","",IFERROR(INDEX(Parceiros!$E$5:$E$54,MATCH(H153,Parceiros!$A$5:$A$54,0)),0))</f>
        <v/>
      </c>
      <c r="N153" s="36">
        <f>IF(OR(H153="",I153="",K153="Cancelado"),0,I153*N(M153))</f>
        <v/>
      </c>
      <c r="O153" s="37">
        <f>IF(ISNUMBER(A153),MONTH(A153),"")</f>
        <v/>
      </c>
      <c r="P153" s="37">
        <f>IF(ISNUMBER(A153),YEAR(A153),"")</f>
        <v/>
      </c>
    </row>
    <row r="154">
      <c r="A154" s="32" t="n"/>
      <c r="B154" s="33" t="n"/>
      <c r="C154" s="33" t="n"/>
      <c r="D154" s="33" t="n"/>
      <c r="E154" s="33" t="n"/>
      <c r="F154" s="33" t="n"/>
      <c r="G154" s="33" t="n"/>
      <c r="H154" s="33" t="n"/>
      <c r="I154" s="34" t="n"/>
      <c r="J154" s="33" t="n"/>
      <c r="K154" s="33" t="n"/>
      <c r="L154" s="33" t="n"/>
      <c r="M154" s="35">
        <f>IF(H154="","",IFERROR(INDEX(Parceiros!$E$5:$E$54,MATCH(H154,Parceiros!$A$5:$A$54,0)),0))</f>
        <v/>
      </c>
      <c r="N154" s="36">
        <f>IF(OR(H154="",I154="",K154="Cancelado"),0,I154*N(M154))</f>
        <v/>
      </c>
      <c r="O154" s="37">
        <f>IF(ISNUMBER(A154),MONTH(A154),"")</f>
        <v/>
      </c>
      <c r="P154" s="37">
        <f>IF(ISNUMBER(A154),YEAR(A154),"")</f>
        <v/>
      </c>
    </row>
    <row r="155">
      <c r="A155" s="32" t="n"/>
      <c r="B155" s="33" t="n"/>
      <c r="C155" s="33" t="n"/>
      <c r="D155" s="33" t="n"/>
      <c r="E155" s="33" t="n"/>
      <c r="F155" s="33" t="n"/>
      <c r="G155" s="33" t="n"/>
      <c r="H155" s="33" t="n"/>
      <c r="I155" s="34" t="n"/>
      <c r="J155" s="33" t="n"/>
      <c r="K155" s="33" t="n"/>
      <c r="L155" s="33" t="n"/>
      <c r="M155" s="35">
        <f>IF(H155="","",IFERROR(INDEX(Parceiros!$E$5:$E$54,MATCH(H155,Parceiros!$A$5:$A$54,0)),0))</f>
        <v/>
      </c>
      <c r="N155" s="36">
        <f>IF(OR(H155="",I155="",K155="Cancelado"),0,I155*N(M155))</f>
        <v/>
      </c>
      <c r="O155" s="37">
        <f>IF(ISNUMBER(A155),MONTH(A155),"")</f>
        <v/>
      </c>
      <c r="P155" s="37">
        <f>IF(ISNUMBER(A155),YEAR(A155),"")</f>
        <v/>
      </c>
    </row>
    <row r="156">
      <c r="A156" s="32" t="n"/>
      <c r="B156" s="33" t="n"/>
      <c r="C156" s="33" t="n"/>
      <c r="D156" s="33" t="n"/>
      <c r="E156" s="33" t="n"/>
      <c r="F156" s="33" t="n"/>
      <c r="G156" s="33" t="n"/>
      <c r="H156" s="33" t="n"/>
      <c r="I156" s="34" t="n"/>
      <c r="J156" s="33" t="n"/>
      <c r="K156" s="33" t="n"/>
      <c r="L156" s="33" t="n"/>
      <c r="M156" s="35">
        <f>IF(H156="","",IFERROR(INDEX(Parceiros!$E$5:$E$54,MATCH(H156,Parceiros!$A$5:$A$54,0)),0))</f>
        <v/>
      </c>
      <c r="N156" s="36">
        <f>IF(OR(H156="",I156="",K156="Cancelado"),0,I156*N(M156))</f>
        <v/>
      </c>
      <c r="O156" s="37">
        <f>IF(ISNUMBER(A156),MONTH(A156),"")</f>
        <v/>
      </c>
      <c r="P156" s="37">
        <f>IF(ISNUMBER(A156),YEAR(A156),"")</f>
        <v/>
      </c>
    </row>
    <row r="157">
      <c r="A157" s="32" t="n"/>
      <c r="B157" s="33" t="n"/>
      <c r="C157" s="33" t="n"/>
      <c r="D157" s="33" t="n"/>
      <c r="E157" s="33" t="n"/>
      <c r="F157" s="33" t="n"/>
      <c r="G157" s="33" t="n"/>
      <c r="H157" s="33" t="n"/>
      <c r="I157" s="34" t="n"/>
      <c r="J157" s="33" t="n"/>
      <c r="K157" s="33" t="n"/>
      <c r="L157" s="33" t="n"/>
      <c r="M157" s="35">
        <f>IF(H157="","",IFERROR(INDEX(Parceiros!$E$5:$E$54,MATCH(H157,Parceiros!$A$5:$A$54,0)),0))</f>
        <v/>
      </c>
      <c r="N157" s="36">
        <f>IF(OR(H157="",I157="",K157="Cancelado"),0,I157*N(M157))</f>
        <v/>
      </c>
      <c r="O157" s="37">
        <f>IF(ISNUMBER(A157),MONTH(A157),"")</f>
        <v/>
      </c>
      <c r="P157" s="37">
        <f>IF(ISNUMBER(A157),YEAR(A157),"")</f>
        <v/>
      </c>
    </row>
    <row r="158">
      <c r="A158" s="32" t="n"/>
      <c r="B158" s="33" t="n"/>
      <c r="C158" s="33" t="n"/>
      <c r="D158" s="33" t="n"/>
      <c r="E158" s="33" t="n"/>
      <c r="F158" s="33" t="n"/>
      <c r="G158" s="33" t="n"/>
      <c r="H158" s="33" t="n"/>
      <c r="I158" s="34" t="n"/>
      <c r="J158" s="33" t="n"/>
      <c r="K158" s="33" t="n"/>
      <c r="L158" s="33" t="n"/>
      <c r="M158" s="35">
        <f>IF(H158="","",IFERROR(INDEX(Parceiros!$E$5:$E$54,MATCH(H158,Parceiros!$A$5:$A$54,0)),0))</f>
        <v/>
      </c>
      <c r="N158" s="36">
        <f>IF(OR(H158="",I158="",K158="Cancelado"),0,I158*N(M158))</f>
        <v/>
      </c>
      <c r="O158" s="37">
        <f>IF(ISNUMBER(A158),MONTH(A158),"")</f>
        <v/>
      </c>
      <c r="P158" s="37">
        <f>IF(ISNUMBER(A158),YEAR(A158),"")</f>
        <v/>
      </c>
    </row>
    <row r="159">
      <c r="A159" s="32" t="n"/>
      <c r="B159" s="33" t="n"/>
      <c r="C159" s="33" t="n"/>
      <c r="D159" s="33" t="n"/>
      <c r="E159" s="33" t="n"/>
      <c r="F159" s="33" t="n"/>
      <c r="G159" s="33" t="n"/>
      <c r="H159" s="33" t="n"/>
      <c r="I159" s="34" t="n"/>
      <c r="J159" s="33" t="n"/>
      <c r="K159" s="33" t="n"/>
      <c r="L159" s="33" t="n"/>
      <c r="M159" s="35">
        <f>IF(H159="","",IFERROR(INDEX(Parceiros!$E$5:$E$54,MATCH(H159,Parceiros!$A$5:$A$54,0)),0))</f>
        <v/>
      </c>
      <c r="N159" s="36">
        <f>IF(OR(H159="",I159="",K159="Cancelado"),0,I159*N(M159))</f>
        <v/>
      </c>
      <c r="O159" s="37">
        <f>IF(ISNUMBER(A159),MONTH(A159),"")</f>
        <v/>
      </c>
      <c r="P159" s="37">
        <f>IF(ISNUMBER(A159),YEAR(A159),"")</f>
        <v/>
      </c>
    </row>
    <row r="160">
      <c r="A160" s="32" t="n"/>
      <c r="B160" s="33" t="n"/>
      <c r="C160" s="33" t="n"/>
      <c r="D160" s="33" t="n"/>
      <c r="E160" s="33" t="n"/>
      <c r="F160" s="33" t="n"/>
      <c r="G160" s="33" t="n"/>
      <c r="H160" s="33" t="n"/>
      <c r="I160" s="34" t="n"/>
      <c r="J160" s="33" t="n"/>
      <c r="K160" s="33" t="n"/>
      <c r="L160" s="33" t="n"/>
      <c r="M160" s="35">
        <f>IF(H160="","",IFERROR(INDEX(Parceiros!$E$5:$E$54,MATCH(H160,Parceiros!$A$5:$A$54,0)),0))</f>
        <v/>
      </c>
      <c r="N160" s="36">
        <f>IF(OR(H160="",I160="",K160="Cancelado"),0,I160*N(M160))</f>
        <v/>
      </c>
      <c r="O160" s="37">
        <f>IF(ISNUMBER(A160),MONTH(A160),"")</f>
        <v/>
      </c>
      <c r="P160" s="37">
        <f>IF(ISNUMBER(A160),YEAR(A160),"")</f>
        <v/>
      </c>
    </row>
    <row r="161">
      <c r="A161" s="32" t="n"/>
      <c r="B161" s="33" t="n"/>
      <c r="C161" s="33" t="n"/>
      <c r="D161" s="33" t="n"/>
      <c r="E161" s="33" t="n"/>
      <c r="F161" s="33" t="n"/>
      <c r="G161" s="33" t="n"/>
      <c r="H161" s="33" t="n"/>
      <c r="I161" s="34" t="n"/>
      <c r="J161" s="33" t="n"/>
      <c r="K161" s="33" t="n"/>
      <c r="L161" s="33" t="n"/>
      <c r="M161" s="35">
        <f>IF(H161="","",IFERROR(INDEX(Parceiros!$E$5:$E$54,MATCH(H161,Parceiros!$A$5:$A$54,0)),0))</f>
        <v/>
      </c>
      <c r="N161" s="36">
        <f>IF(OR(H161="",I161="",K161="Cancelado"),0,I161*N(M161))</f>
        <v/>
      </c>
      <c r="O161" s="37">
        <f>IF(ISNUMBER(A161),MONTH(A161),"")</f>
        <v/>
      </c>
      <c r="P161" s="37">
        <f>IF(ISNUMBER(A161),YEAR(A161),"")</f>
        <v/>
      </c>
    </row>
    <row r="162">
      <c r="A162" s="32" t="n"/>
      <c r="B162" s="33" t="n"/>
      <c r="C162" s="33" t="n"/>
      <c r="D162" s="33" t="n"/>
      <c r="E162" s="33" t="n"/>
      <c r="F162" s="33" t="n"/>
      <c r="G162" s="33" t="n"/>
      <c r="H162" s="33" t="n"/>
      <c r="I162" s="34" t="n"/>
      <c r="J162" s="33" t="n"/>
      <c r="K162" s="33" t="n"/>
      <c r="L162" s="33" t="n"/>
      <c r="M162" s="35">
        <f>IF(H162="","",IFERROR(INDEX(Parceiros!$E$5:$E$54,MATCH(H162,Parceiros!$A$5:$A$54,0)),0))</f>
        <v/>
      </c>
      <c r="N162" s="36">
        <f>IF(OR(H162="",I162="",K162="Cancelado"),0,I162*N(M162))</f>
        <v/>
      </c>
      <c r="O162" s="37">
        <f>IF(ISNUMBER(A162),MONTH(A162),"")</f>
        <v/>
      </c>
      <c r="P162" s="37">
        <f>IF(ISNUMBER(A162),YEAR(A162),"")</f>
        <v/>
      </c>
    </row>
    <row r="163">
      <c r="A163" s="32" t="n"/>
      <c r="B163" s="33" t="n"/>
      <c r="C163" s="33" t="n"/>
      <c r="D163" s="33" t="n"/>
      <c r="E163" s="33" t="n"/>
      <c r="F163" s="33" t="n"/>
      <c r="G163" s="33" t="n"/>
      <c r="H163" s="33" t="n"/>
      <c r="I163" s="34" t="n"/>
      <c r="J163" s="33" t="n"/>
      <c r="K163" s="33" t="n"/>
      <c r="L163" s="33" t="n"/>
      <c r="M163" s="35">
        <f>IF(H163="","",IFERROR(INDEX(Parceiros!$E$5:$E$54,MATCH(H163,Parceiros!$A$5:$A$54,0)),0))</f>
        <v/>
      </c>
      <c r="N163" s="36">
        <f>IF(OR(H163="",I163="",K163="Cancelado"),0,I163*N(M163))</f>
        <v/>
      </c>
      <c r="O163" s="37">
        <f>IF(ISNUMBER(A163),MONTH(A163),"")</f>
        <v/>
      </c>
      <c r="P163" s="37">
        <f>IF(ISNUMBER(A163),YEAR(A163),"")</f>
        <v/>
      </c>
    </row>
    <row r="164">
      <c r="A164" s="32" t="n"/>
      <c r="B164" s="33" t="n"/>
      <c r="C164" s="33" t="n"/>
      <c r="D164" s="33" t="n"/>
      <c r="E164" s="33" t="n"/>
      <c r="F164" s="33" t="n"/>
      <c r="G164" s="33" t="n"/>
      <c r="H164" s="33" t="n"/>
      <c r="I164" s="34" t="n"/>
      <c r="J164" s="33" t="n"/>
      <c r="K164" s="33" t="n"/>
      <c r="L164" s="33" t="n"/>
      <c r="M164" s="35">
        <f>IF(H164="","",IFERROR(INDEX(Parceiros!$E$5:$E$54,MATCH(H164,Parceiros!$A$5:$A$54,0)),0))</f>
        <v/>
      </c>
      <c r="N164" s="36">
        <f>IF(OR(H164="",I164="",K164="Cancelado"),0,I164*N(M164))</f>
        <v/>
      </c>
      <c r="O164" s="37">
        <f>IF(ISNUMBER(A164),MONTH(A164),"")</f>
        <v/>
      </c>
      <c r="P164" s="37">
        <f>IF(ISNUMBER(A164),YEAR(A164),"")</f>
        <v/>
      </c>
    </row>
    <row r="165">
      <c r="A165" s="32" t="n"/>
      <c r="B165" s="33" t="n"/>
      <c r="C165" s="33" t="n"/>
      <c r="D165" s="33" t="n"/>
      <c r="E165" s="33" t="n"/>
      <c r="F165" s="33" t="n"/>
      <c r="G165" s="33" t="n"/>
      <c r="H165" s="33" t="n"/>
      <c r="I165" s="34" t="n"/>
      <c r="J165" s="33" t="n"/>
      <c r="K165" s="33" t="n"/>
      <c r="L165" s="33" t="n"/>
      <c r="M165" s="35">
        <f>IF(H165="","",IFERROR(INDEX(Parceiros!$E$5:$E$54,MATCH(H165,Parceiros!$A$5:$A$54,0)),0))</f>
        <v/>
      </c>
      <c r="N165" s="36">
        <f>IF(OR(H165="",I165="",K165="Cancelado"),0,I165*N(M165))</f>
        <v/>
      </c>
      <c r="O165" s="37">
        <f>IF(ISNUMBER(A165),MONTH(A165),"")</f>
        <v/>
      </c>
      <c r="P165" s="37">
        <f>IF(ISNUMBER(A165),YEAR(A165),"")</f>
        <v/>
      </c>
    </row>
    <row r="166">
      <c r="A166" s="32" t="n"/>
      <c r="B166" s="33" t="n"/>
      <c r="C166" s="33" t="n"/>
      <c r="D166" s="33" t="n"/>
      <c r="E166" s="33" t="n"/>
      <c r="F166" s="33" t="n"/>
      <c r="G166" s="33" t="n"/>
      <c r="H166" s="33" t="n"/>
      <c r="I166" s="34" t="n"/>
      <c r="J166" s="33" t="n"/>
      <c r="K166" s="33" t="n"/>
      <c r="L166" s="33" t="n"/>
      <c r="M166" s="35">
        <f>IF(H166="","",IFERROR(INDEX(Parceiros!$E$5:$E$54,MATCH(H166,Parceiros!$A$5:$A$54,0)),0))</f>
        <v/>
      </c>
      <c r="N166" s="36">
        <f>IF(OR(H166="",I166="",K166="Cancelado"),0,I166*N(M166))</f>
        <v/>
      </c>
      <c r="O166" s="37">
        <f>IF(ISNUMBER(A166),MONTH(A166),"")</f>
        <v/>
      </c>
      <c r="P166" s="37">
        <f>IF(ISNUMBER(A166),YEAR(A166),"")</f>
        <v/>
      </c>
    </row>
    <row r="167">
      <c r="A167" s="32" t="n"/>
      <c r="B167" s="33" t="n"/>
      <c r="C167" s="33" t="n"/>
      <c r="D167" s="33" t="n"/>
      <c r="E167" s="33" t="n"/>
      <c r="F167" s="33" t="n"/>
      <c r="G167" s="33" t="n"/>
      <c r="H167" s="33" t="n"/>
      <c r="I167" s="34" t="n"/>
      <c r="J167" s="33" t="n"/>
      <c r="K167" s="33" t="n"/>
      <c r="L167" s="33" t="n"/>
      <c r="M167" s="35">
        <f>IF(H167="","",IFERROR(INDEX(Parceiros!$E$5:$E$54,MATCH(H167,Parceiros!$A$5:$A$54,0)),0))</f>
        <v/>
      </c>
      <c r="N167" s="36">
        <f>IF(OR(H167="",I167="",K167="Cancelado"),0,I167*N(M167))</f>
        <v/>
      </c>
      <c r="O167" s="37">
        <f>IF(ISNUMBER(A167),MONTH(A167),"")</f>
        <v/>
      </c>
      <c r="P167" s="37">
        <f>IF(ISNUMBER(A167),YEAR(A167),"")</f>
        <v/>
      </c>
    </row>
    <row r="168">
      <c r="A168" s="32" t="n"/>
      <c r="B168" s="33" t="n"/>
      <c r="C168" s="33" t="n"/>
      <c r="D168" s="33" t="n"/>
      <c r="E168" s="33" t="n"/>
      <c r="F168" s="33" t="n"/>
      <c r="G168" s="33" t="n"/>
      <c r="H168" s="33" t="n"/>
      <c r="I168" s="34" t="n"/>
      <c r="J168" s="33" t="n"/>
      <c r="K168" s="33" t="n"/>
      <c r="L168" s="33" t="n"/>
      <c r="M168" s="35">
        <f>IF(H168="","",IFERROR(INDEX(Parceiros!$E$5:$E$54,MATCH(H168,Parceiros!$A$5:$A$54,0)),0))</f>
        <v/>
      </c>
      <c r="N168" s="36">
        <f>IF(OR(H168="",I168="",K168="Cancelado"),0,I168*N(M168))</f>
        <v/>
      </c>
      <c r="O168" s="37">
        <f>IF(ISNUMBER(A168),MONTH(A168),"")</f>
        <v/>
      </c>
      <c r="P168" s="37">
        <f>IF(ISNUMBER(A168),YEAR(A168),"")</f>
        <v/>
      </c>
    </row>
    <row r="169">
      <c r="A169" s="32" t="n"/>
      <c r="B169" s="33" t="n"/>
      <c r="C169" s="33" t="n"/>
      <c r="D169" s="33" t="n"/>
      <c r="E169" s="33" t="n"/>
      <c r="F169" s="33" t="n"/>
      <c r="G169" s="33" t="n"/>
      <c r="H169" s="33" t="n"/>
      <c r="I169" s="34" t="n"/>
      <c r="J169" s="33" t="n"/>
      <c r="K169" s="33" t="n"/>
      <c r="L169" s="33" t="n"/>
      <c r="M169" s="35">
        <f>IF(H169="","",IFERROR(INDEX(Parceiros!$E$5:$E$54,MATCH(H169,Parceiros!$A$5:$A$54,0)),0))</f>
        <v/>
      </c>
      <c r="N169" s="36">
        <f>IF(OR(H169="",I169="",K169="Cancelado"),0,I169*N(M169))</f>
        <v/>
      </c>
      <c r="O169" s="37">
        <f>IF(ISNUMBER(A169),MONTH(A169),"")</f>
        <v/>
      </c>
      <c r="P169" s="37">
        <f>IF(ISNUMBER(A169),YEAR(A169),"")</f>
        <v/>
      </c>
    </row>
    <row r="170">
      <c r="A170" s="32" t="n"/>
      <c r="B170" s="33" t="n"/>
      <c r="C170" s="33" t="n"/>
      <c r="D170" s="33" t="n"/>
      <c r="E170" s="33" t="n"/>
      <c r="F170" s="33" t="n"/>
      <c r="G170" s="33" t="n"/>
      <c r="H170" s="33" t="n"/>
      <c r="I170" s="34" t="n"/>
      <c r="J170" s="33" t="n"/>
      <c r="K170" s="33" t="n"/>
      <c r="L170" s="33" t="n"/>
      <c r="M170" s="35">
        <f>IF(H170="","",IFERROR(INDEX(Parceiros!$E$5:$E$54,MATCH(H170,Parceiros!$A$5:$A$54,0)),0))</f>
        <v/>
      </c>
      <c r="N170" s="36">
        <f>IF(OR(H170="",I170="",K170="Cancelado"),0,I170*N(M170))</f>
        <v/>
      </c>
      <c r="O170" s="37">
        <f>IF(ISNUMBER(A170),MONTH(A170),"")</f>
        <v/>
      </c>
      <c r="P170" s="37">
        <f>IF(ISNUMBER(A170),YEAR(A170),"")</f>
        <v/>
      </c>
    </row>
    <row r="171">
      <c r="A171" s="32" t="n"/>
      <c r="B171" s="33" t="n"/>
      <c r="C171" s="33" t="n"/>
      <c r="D171" s="33" t="n"/>
      <c r="E171" s="33" t="n"/>
      <c r="F171" s="33" t="n"/>
      <c r="G171" s="33" t="n"/>
      <c r="H171" s="33" t="n"/>
      <c r="I171" s="34" t="n"/>
      <c r="J171" s="33" t="n"/>
      <c r="K171" s="33" t="n"/>
      <c r="L171" s="33" t="n"/>
      <c r="M171" s="35">
        <f>IF(H171="","",IFERROR(INDEX(Parceiros!$E$5:$E$54,MATCH(H171,Parceiros!$A$5:$A$54,0)),0))</f>
        <v/>
      </c>
      <c r="N171" s="36">
        <f>IF(OR(H171="",I171="",K171="Cancelado"),0,I171*N(M171))</f>
        <v/>
      </c>
      <c r="O171" s="37">
        <f>IF(ISNUMBER(A171),MONTH(A171),"")</f>
        <v/>
      </c>
      <c r="P171" s="37">
        <f>IF(ISNUMBER(A171),YEAR(A171),"")</f>
        <v/>
      </c>
    </row>
    <row r="172">
      <c r="A172" s="32" t="n"/>
      <c r="B172" s="33" t="n"/>
      <c r="C172" s="33" t="n"/>
      <c r="D172" s="33" t="n"/>
      <c r="E172" s="33" t="n"/>
      <c r="F172" s="33" t="n"/>
      <c r="G172" s="33" t="n"/>
      <c r="H172" s="33" t="n"/>
      <c r="I172" s="34" t="n"/>
      <c r="J172" s="33" t="n"/>
      <c r="K172" s="33" t="n"/>
      <c r="L172" s="33" t="n"/>
      <c r="M172" s="35">
        <f>IF(H172="","",IFERROR(INDEX(Parceiros!$E$5:$E$54,MATCH(H172,Parceiros!$A$5:$A$54,0)),0))</f>
        <v/>
      </c>
      <c r="N172" s="36">
        <f>IF(OR(H172="",I172="",K172="Cancelado"),0,I172*N(M172))</f>
        <v/>
      </c>
      <c r="O172" s="37">
        <f>IF(ISNUMBER(A172),MONTH(A172),"")</f>
        <v/>
      </c>
      <c r="P172" s="37">
        <f>IF(ISNUMBER(A172),YEAR(A172),"")</f>
        <v/>
      </c>
    </row>
    <row r="173">
      <c r="A173" s="32" t="n"/>
      <c r="B173" s="33" t="n"/>
      <c r="C173" s="33" t="n"/>
      <c r="D173" s="33" t="n"/>
      <c r="E173" s="33" t="n"/>
      <c r="F173" s="33" t="n"/>
      <c r="G173" s="33" t="n"/>
      <c r="H173" s="33" t="n"/>
      <c r="I173" s="34" t="n"/>
      <c r="J173" s="33" t="n"/>
      <c r="K173" s="33" t="n"/>
      <c r="L173" s="33" t="n"/>
      <c r="M173" s="35">
        <f>IF(H173="","",IFERROR(INDEX(Parceiros!$E$5:$E$54,MATCH(H173,Parceiros!$A$5:$A$54,0)),0))</f>
        <v/>
      </c>
      <c r="N173" s="36">
        <f>IF(OR(H173="",I173="",K173="Cancelado"),0,I173*N(M173))</f>
        <v/>
      </c>
      <c r="O173" s="37">
        <f>IF(ISNUMBER(A173),MONTH(A173),"")</f>
        <v/>
      </c>
      <c r="P173" s="37">
        <f>IF(ISNUMBER(A173),YEAR(A173),"")</f>
        <v/>
      </c>
    </row>
    <row r="174">
      <c r="A174" s="32" t="n"/>
      <c r="B174" s="33" t="n"/>
      <c r="C174" s="33" t="n"/>
      <c r="D174" s="33" t="n"/>
      <c r="E174" s="33" t="n"/>
      <c r="F174" s="33" t="n"/>
      <c r="G174" s="33" t="n"/>
      <c r="H174" s="33" t="n"/>
      <c r="I174" s="34" t="n"/>
      <c r="J174" s="33" t="n"/>
      <c r="K174" s="33" t="n"/>
      <c r="L174" s="33" t="n"/>
      <c r="M174" s="35">
        <f>IF(H174="","",IFERROR(INDEX(Parceiros!$E$5:$E$54,MATCH(H174,Parceiros!$A$5:$A$54,0)),0))</f>
        <v/>
      </c>
      <c r="N174" s="36">
        <f>IF(OR(H174="",I174="",K174="Cancelado"),0,I174*N(M174))</f>
        <v/>
      </c>
      <c r="O174" s="37">
        <f>IF(ISNUMBER(A174),MONTH(A174),"")</f>
        <v/>
      </c>
      <c r="P174" s="37">
        <f>IF(ISNUMBER(A174),YEAR(A174),"")</f>
        <v/>
      </c>
    </row>
    <row r="175">
      <c r="A175" s="32" t="n"/>
      <c r="B175" s="33" t="n"/>
      <c r="C175" s="33" t="n"/>
      <c r="D175" s="33" t="n"/>
      <c r="E175" s="33" t="n"/>
      <c r="F175" s="33" t="n"/>
      <c r="G175" s="33" t="n"/>
      <c r="H175" s="33" t="n"/>
      <c r="I175" s="34" t="n"/>
      <c r="J175" s="33" t="n"/>
      <c r="K175" s="33" t="n"/>
      <c r="L175" s="33" t="n"/>
      <c r="M175" s="35">
        <f>IF(H175="","",IFERROR(INDEX(Parceiros!$E$5:$E$54,MATCH(H175,Parceiros!$A$5:$A$54,0)),0))</f>
        <v/>
      </c>
      <c r="N175" s="36">
        <f>IF(OR(H175="",I175="",K175="Cancelado"),0,I175*N(M175))</f>
        <v/>
      </c>
      <c r="O175" s="37">
        <f>IF(ISNUMBER(A175),MONTH(A175),"")</f>
        <v/>
      </c>
      <c r="P175" s="37">
        <f>IF(ISNUMBER(A175),YEAR(A175),"")</f>
        <v/>
      </c>
    </row>
    <row r="176">
      <c r="A176" s="32" t="n"/>
      <c r="B176" s="33" t="n"/>
      <c r="C176" s="33" t="n"/>
      <c r="D176" s="33" t="n"/>
      <c r="E176" s="33" t="n"/>
      <c r="F176" s="33" t="n"/>
      <c r="G176" s="33" t="n"/>
      <c r="H176" s="33" t="n"/>
      <c r="I176" s="34" t="n"/>
      <c r="J176" s="33" t="n"/>
      <c r="K176" s="33" t="n"/>
      <c r="L176" s="33" t="n"/>
      <c r="M176" s="35">
        <f>IF(H176="","",IFERROR(INDEX(Parceiros!$E$5:$E$54,MATCH(H176,Parceiros!$A$5:$A$54,0)),0))</f>
        <v/>
      </c>
      <c r="N176" s="36">
        <f>IF(OR(H176="",I176="",K176="Cancelado"),0,I176*N(M176))</f>
        <v/>
      </c>
      <c r="O176" s="37">
        <f>IF(ISNUMBER(A176),MONTH(A176),"")</f>
        <v/>
      </c>
      <c r="P176" s="37">
        <f>IF(ISNUMBER(A176),YEAR(A176),"")</f>
        <v/>
      </c>
    </row>
    <row r="177">
      <c r="A177" s="32" t="n"/>
      <c r="B177" s="33" t="n"/>
      <c r="C177" s="33" t="n"/>
      <c r="D177" s="33" t="n"/>
      <c r="E177" s="33" t="n"/>
      <c r="F177" s="33" t="n"/>
      <c r="G177" s="33" t="n"/>
      <c r="H177" s="33" t="n"/>
      <c r="I177" s="34" t="n"/>
      <c r="J177" s="33" t="n"/>
      <c r="K177" s="33" t="n"/>
      <c r="L177" s="33" t="n"/>
      <c r="M177" s="35">
        <f>IF(H177="","",IFERROR(INDEX(Parceiros!$E$5:$E$54,MATCH(H177,Parceiros!$A$5:$A$54,0)),0))</f>
        <v/>
      </c>
      <c r="N177" s="36">
        <f>IF(OR(H177="",I177="",K177="Cancelado"),0,I177*N(M177))</f>
        <v/>
      </c>
      <c r="O177" s="37">
        <f>IF(ISNUMBER(A177),MONTH(A177),"")</f>
        <v/>
      </c>
      <c r="P177" s="37">
        <f>IF(ISNUMBER(A177),YEAR(A177),"")</f>
        <v/>
      </c>
    </row>
    <row r="178">
      <c r="A178" s="32" t="n"/>
      <c r="B178" s="33" t="n"/>
      <c r="C178" s="33" t="n"/>
      <c r="D178" s="33" t="n"/>
      <c r="E178" s="33" t="n"/>
      <c r="F178" s="33" t="n"/>
      <c r="G178" s="33" t="n"/>
      <c r="H178" s="33" t="n"/>
      <c r="I178" s="34" t="n"/>
      <c r="J178" s="33" t="n"/>
      <c r="K178" s="33" t="n"/>
      <c r="L178" s="33" t="n"/>
      <c r="M178" s="35">
        <f>IF(H178="","",IFERROR(INDEX(Parceiros!$E$5:$E$54,MATCH(H178,Parceiros!$A$5:$A$54,0)),0))</f>
        <v/>
      </c>
      <c r="N178" s="36">
        <f>IF(OR(H178="",I178="",K178="Cancelado"),0,I178*N(M178))</f>
        <v/>
      </c>
      <c r="O178" s="37">
        <f>IF(ISNUMBER(A178),MONTH(A178),"")</f>
        <v/>
      </c>
      <c r="P178" s="37">
        <f>IF(ISNUMBER(A178),YEAR(A178),"")</f>
        <v/>
      </c>
    </row>
    <row r="179">
      <c r="A179" s="32" t="n"/>
      <c r="B179" s="33" t="n"/>
      <c r="C179" s="33" t="n"/>
      <c r="D179" s="33" t="n"/>
      <c r="E179" s="33" t="n"/>
      <c r="F179" s="33" t="n"/>
      <c r="G179" s="33" t="n"/>
      <c r="H179" s="33" t="n"/>
      <c r="I179" s="34" t="n"/>
      <c r="J179" s="33" t="n"/>
      <c r="K179" s="33" t="n"/>
      <c r="L179" s="33" t="n"/>
      <c r="M179" s="35">
        <f>IF(H179="","",IFERROR(INDEX(Parceiros!$E$5:$E$54,MATCH(H179,Parceiros!$A$5:$A$54,0)),0))</f>
        <v/>
      </c>
      <c r="N179" s="36">
        <f>IF(OR(H179="",I179="",K179="Cancelado"),0,I179*N(M179))</f>
        <v/>
      </c>
      <c r="O179" s="37">
        <f>IF(ISNUMBER(A179),MONTH(A179),"")</f>
        <v/>
      </c>
      <c r="P179" s="37">
        <f>IF(ISNUMBER(A179),YEAR(A179),"")</f>
        <v/>
      </c>
    </row>
    <row r="180">
      <c r="A180" s="32" t="n"/>
      <c r="B180" s="33" t="n"/>
      <c r="C180" s="33" t="n"/>
      <c r="D180" s="33" t="n"/>
      <c r="E180" s="33" t="n"/>
      <c r="F180" s="33" t="n"/>
      <c r="G180" s="33" t="n"/>
      <c r="H180" s="33" t="n"/>
      <c r="I180" s="34" t="n"/>
      <c r="J180" s="33" t="n"/>
      <c r="K180" s="33" t="n"/>
      <c r="L180" s="33" t="n"/>
      <c r="M180" s="35">
        <f>IF(H180="","",IFERROR(INDEX(Parceiros!$E$5:$E$54,MATCH(H180,Parceiros!$A$5:$A$54,0)),0))</f>
        <v/>
      </c>
      <c r="N180" s="36">
        <f>IF(OR(H180="",I180="",K180="Cancelado"),0,I180*N(M180))</f>
        <v/>
      </c>
      <c r="O180" s="37">
        <f>IF(ISNUMBER(A180),MONTH(A180),"")</f>
        <v/>
      </c>
      <c r="P180" s="37">
        <f>IF(ISNUMBER(A180),YEAR(A180),"")</f>
        <v/>
      </c>
    </row>
    <row r="181">
      <c r="A181" s="32" t="n"/>
      <c r="B181" s="33" t="n"/>
      <c r="C181" s="33" t="n"/>
      <c r="D181" s="33" t="n"/>
      <c r="E181" s="33" t="n"/>
      <c r="F181" s="33" t="n"/>
      <c r="G181" s="33" t="n"/>
      <c r="H181" s="33" t="n"/>
      <c r="I181" s="34" t="n"/>
      <c r="J181" s="33" t="n"/>
      <c r="K181" s="33" t="n"/>
      <c r="L181" s="33" t="n"/>
      <c r="M181" s="35">
        <f>IF(H181="","",IFERROR(INDEX(Parceiros!$E$5:$E$54,MATCH(H181,Parceiros!$A$5:$A$54,0)),0))</f>
        <v/>
      </c>
      <c r="N181" s="36">
        <f>IF(OR(H181="",I181="",K181="Cancelado"),0,I181*N(M181))</f>
        <v/>
      </c>
      <c r="O181" s="37">
        <f>IF(ISNUMBER(A181),MONTH(A181),"")</f>
        <v/>
      </c>
      <c r="P181" s="37">
        <f>IF(ISNUMBER(A181),YEAR(A181),"")</f>
        <v/>
      </c>
    </row>
    <row r="182">
      <c r="A182" s="32" t="n"/>
      <c r="B182" s="33" t="n"/>
      <c r="C182" s="33" t="n"/>
      <c r="D182" s="33" t="n"/>
      <c r="E182" s="33" t="n"/>
      <c r="F182" s="33" t="n"/>
      <c r="G182" s="33" t="n"/>
      <c r="H182" s="33" t="n"/>
      <c r="I182" s="34" t="n"/>
      <c r="J182" s="33" t="n"/>
      <c r="K182" s="33" t="n"/>
      <c r="L182" s="33" t="n"/>
      <c r="M182" s="35">
        <f>IF(H182="","",IFERROR(INDEX(Parceiros!$E$5:$E$54,MATCH(H182,Parceiros!$A$5:$A$54,0)),0))</f>
        <v/>
      </c>
      <c r="N182" s="36">
        <f>IF(OR(H182="",I182="",K182="Cancelado"),0,I182*N(M182))</f>
        <v/>
      </c>
      <c r="O182" s="37">
        <f>IF(ISNUMBER(A182),MONTH(A182),"")</f>
        <v/>
      </c>
      <c r="P182" s="37">
        <f>IF(ISNUMBER(A182),YEAR(A182),"")</f>
        <v/>
      </c>
    </row>
    <row r="183">
      <c r="A183" s="32" t="n"/>
      <c r="B183" s="33" t="n"/>
      <c r="C183" s="33" t="n"/>
      <c r="D183" s="33" t="n"/>
      <c r="E183" s="33" t="n"/>
      <c r="F183" s="33" t="n"/>
      <c r="G183" s="33" t="n"/>
      <c r="H183" s="33" t="n"/>
      <c r="I183" s="34" t="n"/>
      <c r="J183" s="33" t="n"/>
      <c r="K183" s="33" t="n"/>
      <c r="L183" s="33" t="n"/>
      <c r="M183" s="35">
        <f>IF(H183="","",IFERROR(INDEX(Parceiros!$E$5:$E$54,MATCH(H183,Parceiros!$A$5:$A$54,0)),0))</f>
        <v/>
      </c>
      <c r="N183" s="36">
        <f>IF(OR(H183="",I183="",K183="Cancelado"),0,I183*N(M183))</f>
        <v/>
      </c>
      <c r="O183" s="37">
        <f>IF(ISNUMBER(A183),MONTH(A183),"")</f>
        <v/>
      </c>
      <c r="P183" s="37">
        <f>IF(ISNUMBER(A183),YEAR(A183),"")</f>
        <v/>
      </c>
    </row>
    <row r="184">
      <c r="A184" s="32" t="n"/>
      <c r="B184" s="33" t="n"/>
      <c r="C184" s="33" t="n"/>
      <c r="D184" s="33" t="n"/>
      <c r="E184" s="33" t="n"/>
      <c r="F184" s="33" t="n"/>
      <c r="G184" s="33" t="n"/>
      <c r="H184" s="33" t="n"/>
      <c r="I184" s="34" t="n"/>
      <c r="J184" s="33" t="n"/>
      <c r="K184" s="33" t="n"/>
      <c r="L184" s="33" t="n"/>
      <c r="M184" s="35">
        <f>IF(H184="","",IFERROR(INDEX(Parceiros!$E$5:$E$54,MATCH(H184,Parceiros!$A$5:$A$54,0)),0))</f>
        <v/>
      </c>
      <c r="N184" s="36">
        <f>IF(OR(H184="",I184="",K184="Cancelado"),0,I184*N(M184))</f>
        <v/>
      </c>
      <c r="O184" s="37">
        <f>IF(ISNUMBER(A184),MONTH(A184),"")</f>
        <v/>
      </c>
      <c r="P184" s="37">
        <f>IF(ISNUMBER(A184),YEAR(A184),"")</f>
        <v/>
      </c>
    </row>
    <row r="185">
      <c r="A185" s="32" t="n"/>
      <c r="B185" s="33" t="n"/>
      <c r="C185" s="33" t="n"/>
      <c r="D185" s="33" t="n"/>
      <c r="E185" s="33" t="n"/>
      <c r="F185" s="33" t="n"/>
      <c r="G185" s="33" t="n"/>
      <c r="H185" s="33" t="n"/>
      <c r="I185" s="34" t="n"/>
      <c r="J185" s="33" t="n"/>
      <c r="K185" s="33" t="n"/>
      <c r="L185" s="33" t="n"/>
      <c r="M185" s="35">
        <f>IF(H185="","",IFERROR(INDEX(Parceiros!$E$5:$E$54,MATCH(H185,Parceiros!$A$5:$A$54,0)),0))</f>
        <v/>
      </c>
      <c r="N185" s="36">
        <f>IF(OR(H185="",I185="",K185="Cancelado"),0,I185*N(M185))</f>
        <v/>
      </c>
      <c r="O185" s="37">
        <f>IF(ISNUMBER(A185),MONTH(A185),"")</f>
        <v/>
      </c>
      <c r="P185" s="37">
        <f>IF(ISNUMBER(A185),YEAR(A185),"")</f>
        <v/>
      </c>
    </row>
    <row r="186">
      <c r="A186" s="32" t="n"/>
      <c r="B186" s="33" t="n"/>
      <c r="C186" s="33" t="n"/>
      <c r="D186" s="33" t="n"/>
      <c r="E186" s="33" t="n"/>
      <c r="F186" s="33" t="n"/>
      <c r="G186" s="33" t="n"/>
      <c r="H186" s="33" t="n"/>
      <c r="I186" s="34" t="n"/>
      <c r="J186" s="33" t="n"/>
      <c r="K186" s="33" t="n"/>
      <c r="L186" s="33" t="n"/>
      <c r="M186" s="35">
        <f>IF(H186="","",IFERROR(INDEX(Parceiros!$E$5:$E$54,MATCH(H186,Parceiros!$A$5:$A$54,0)),0))</f>
        <v/>
      </c>
      <c r="N186" s="36">
        <f>IF(OR(H186="",I186="",K186="Cancelado"),0,I186*N(M186))</f>
        <v/>
      </c>
      <c r="O186" s="37">
        <f>IF(ISNUMBER(A186),MONTH(A186),"")</f>
        <v/>
      </c>
      <c r="P186" s="37">
        <f>IF(ISNUMBER(A186),YEAR(A186),"")</f>
        <v/>
      </c>
    </row>
    <row r="187">
      <c r="A187" s="32" t="n"/>
      <c r="B187" s="33" t="n"/>
      <c r="C187" s="33" t="n"/>
      <c r="D187" s="33" t="n"/>
      <c r="E187" s="33" t="n"/>
      <c r="F187" s="33" t="n"/>
      <c r="G187" s="33" t="n"/>
      <c r="H187" s="33" t="n"/>
      <c r="I187" s="34" t="n"/>
      <c r="J187" s="33" t="n"/>
      <c r="K187" s="33" t="n"/>
      <c r="L187" s="33" t="n"/>
      <c r="M187" s="35">
        <f>IF(H187="","",IFERROR(INDEX(Parceiros!$E$5:$E$54,MATCH(H187,Parceiros!$A$5:$A$54,0)),0))</f>
        <v/>
      </c>
      <c r="N187" s="36">
        <f>IF(OR(H187="",I187="",K187="Cancelado"),0,I187*N(M187))</f>
        <v/>
      </c>
      <c r="O187" s="37">
        <f>IF(ISNUMBER(A187),MONTH(A187),"")</f>
        <v/>
      </c>
      <c r="P187" s="37">
        <f>IF(ISNUMBER(A187),YEAR(A187),"")</f>
        <v/>
      </c>
    </row>
    <row r="188">
      <c r="A188" s="32" t="n"/>
      <c r="B188" s="33" t="n"/>
      <c r="C188" s="33" t="n"/>
      <c r="D188" s="33" t="n"/>
      <c r="E188" s="33" t="n"/>
      <c r="F188" s="33" t="n"/>
      <c r="G188" s="33" t="n"/>
      <c r="H188" s="33" t="n"/>
      <c r="I188" s="34" t="n"/>
      <c r="J188" s="33" t="n"/>
      <c r="K188" s="33" t="n"/>
      <c r="L188" s="33" t="n"/>
      <c r="M188" s="35">
        <f>IF(H188="","",IFERROR(INDEX(Parceiros!$E$5:$E$54,MATCH(H188,Parceiros!$A$5:$A$54,0)),0))</f>
        <v/>
      </c>
      <c r="N188" s="36">
        <f>IF(OR(H188="",I188="",K188="Cancelado"),0,I188*N(M188))</f>
        <v/>
      </c>
      <c r="O188" s="37">
        <f>IF(ISNUMBER(A188),MONTH(A188),"")</f>
        <v/>
      </c>
      <c r="P188" s="37">
        <f>IF(ISNUMBER(A188),YEAR(A188),"")</f>
        <v/>
      </c>
    </row>
    <row r="189">
      <c r="A189" s="32" t="n"/>
      <c r="B189" s="33" t="n"/>
      <c r="C189" s="33" t="n"/>
      <c r="D189" s="33" t="n"/>
      <c r="E189" s="33" t="n"/>
      <c r="F189" s="33" t="n"/>
      <c r="G189" s="33" t="n"/>
      <c r="H189" s="33" t="n"/>
      <c r="I189" s="34" t="n"/>
      <c r="J189" s="33" t="n"/>
      <c r="K189" s="33" t="n"/>
      <c r="L189" s="33" t="n"/>
      <c r="M189" s="35">
        <f>IF(H189="","",IFERROR(INDEX(Parceiros!$E$5:$E$54,MATCH(H189,Parceiros!$A$5:$A$54,0)),0))</f>
        <v/>
      </c>
      <c r="N189" s="36">
        <f>IF(OR(H189="",I189="",K189="Cancelado"),0,I189*N(M189))</f>
        <v/>
      </c>
      <c r="O189" s="37">
        <f>IF(ISNUMBER(A189),MONTH(A189),"")</f>
        <v/>
      </c>
      <c r="P189" s="37">
        <f>IF(ISNUMBER(A189),YEAR(A189),"")</f>
        <v/>
      </c>
    </row>
    <row r="190">
      <c r="A190" s="32" t="n"/>
      <c r="B190" s="33" t="n"/>
      <c r="C190" s="33" t="n"/>
      <c r="D190" s="33" t="n"/>
      <c r="E190" s="33" t="n"/>
      <c r="F190" s="33" t="n"/>
      <c r="G190" s="33" t="n"/>
      <c r="H190" s="33" t="n"/>
      <c r="I190" s="34" t="n"/>
      <c r="J190" s="33" t="n"/>
      <c r="K190" s="33" t="n"/>
      <c r="L190" s="33" t="n"/>
      <c r="M190" s="35">
        <f>IF(H190="","",IFERROR(INDEX(Parceiros!$E$5:$E$54,MATCH(H190,Parceiros!$A$5:$A$54,0)),0))</f>
        <v/>
      </c>
      <c r="N190" s="36">
        <f>IF(OR(H190="",I190="",K190="Cancelado"),0,I190*N(M190))</f>
        <v/>
      </c>
      <c r="O190" s="37">
        <f>IF(ISNUMBER(A190),MONTH(A190),"")</f>
        <v/>
      </c>
      <c r="P190" s="37">
        <f>IF(ISNUMBER(A190),YEAR(A190),"")</f>
        <v/>
      </c>
    </row>
    <row r="191">
      <c r="A191" s="32" t="n"/>
      <c r="B191" s="33" t="n"/>
      <c r="C191" s="33" t="n"/>
      <c r="D191" s="33" t="n"/>
      <c r="E191" s="33" t="n"/>
      <c r="F191" s="33" t="n"/>
      <c r="G191" s="33" t="n"/>
      <c r="H191" s="33" t="n"/>
      <c r="I191" s="34" t="n"/>
      <c r="J191" s="33" t="n"/>
      <c r="K191" s="33" t="n"/>
      <c r="L191" s="33" t="n"/>
      <c r="M191" s="35">
        <f>IF(H191="","",IFERROR(INDEX(Parceiros!$E$5:$E$54,MATCH(H191,Parceiros!$A$5:$A$54,0)),0))</f>
        <v/>
      </c>
      <c r="N191" s="36">
        <f>IF(OR(H191="",I191="",K191="Cancelado"),0,I191*N(M191))</f>
        <v/>
      </c>
      <c r="O191" s="37">
        <f>IF(ISNUMBER(A191),MONTH(A191),"")</f>
        <v/>
      </c>
      <c r="P191" s="37">
        <f>IF(ISNUMBER(A191),YEAR(A191),"")</f>
        <v/>
      </c>
    </row>
    <row r="192">
      <c r="A192" s="32" t="n"/>
      <c r="B192" s="33" t="n"/>
      <c r="C192" s="33" t="n"/>
      <c r="D192" s="33" t="n"/>
      <c r="E192" s="33" t="n"/>
      <c r="F192" s="33" t="n"/>
      <c r="G192" s="33" t="n"/>
      <c r="H192" s="33" t="n"/>
      <c r="I192" s="34" t="n"/>
      <c r="J192" s="33" t="n"/>
      <c r="K192" s="33" t="n"/>
      <c r="L192" s="33" t="n"/>
      <c r="M192" s="35">
        <f>IF(H192="","",IFERROR(INDEX(Parceiros!$E$5:$E$54,MATCH(H192,Parceiros!$A$5:$A$54,0)),0))</f>
        <v/>
      </c>
      <c r="N192" s="36">
        <f>IF(OR(H192="",I192="",K192="Cancelado"),0,I192*N(M192))</f>
        <v/>
      </c>
      <c r="O192" s="37">
        <f>IF(ISNUMBER(A192),MONTH(A192),"")</f>
        <v/>
      </c>
      <c r="P192" s="37">
        <f>IF(ISNUMBER(A192),YEAR(A192),"")</f>
        <v/>
      </c>
    </row>
    <row r="193">
      <c r="A193" s="32" t="n"/>
      <c r="B193" s="33" t="n"/>
      <c r="C193" s="33" t="n"/>
      <c r="D193" s="33" t="n"/>
      <c r="E193" s="33" t="n"/>
      <c r="F193" s="33" t="n"/>
      <c r="G193" s="33" t="n"/>
      <c r="H193" s="33" t="n"/>
      <c r="I193" s="34" t="n"/>
      <c r="J193" s="33" t="n"/>
      <c r="K193" s="33" t="n"/>
      <c r="L193" s="33" t="n"/>
      <c r="M193" s="35">
        <f>IF(H193="","",IFERROR(INDEX(Parceiros!$E$5:$E$54,MATCH(H193,Parceiros!$A$5:$A$54,0)),0))</f>
        <v/>
      </c>
      <c r="N193" s="36">
        <f>IF(OR(H193="",I193="",K193="Cancelado"),0,I193*N(M193))</f>
        <v/>
      </c>
      <c r="O193" s="37">
        <f>IF(ISNUMBER(A193),MONTH(A193),"")</f>
        <v/>
      </c>
      <c r="P193" s="37">
        <f>IF(ISNUMBER(A193),YEAR(A193),"")</f>
        <v/>
      </c>
    </row>
    <row r="194">
      <c r="A194" s="32" t="n"/>
      <c r="B194" s="33" t="n"/>
      <c r="C194" s="33" t="n"/>
      <c r="D194" s="33" t="n"/>
      <c r="E194" s="33" t="n"/>
      <c r="F194" s="33" t="n"/>
      <c r="G194" s="33" t="n"/>
      <c r="H194" s="33" t="n"/>
      <c r="I194" s="34" t="n"/>
      <c r="J194" s="33" t="n"/>
      <c r="K194" s="33" t="n"/>
      <c r="L194" s="33" t="n"/>
      <c r="M194" s="35">
        <f>IF(H194="","",IFERROR(INDEX(Parceiros!$E$5:$E$54,MATCH(H194,Parceiros!$A$5:$A$54,0)),0))</f>
        <v/>
      </c>
      <c r="N194" s="36">
        <f>IF(OR(H194="",I194="",K194="Cancelado"),0,I194*N(M194))</f>
        <v/>
      </c>
      <c r="O194" s="37">
        <f>IF(ISNUMBER(A194),MONTH(A194),"")</f>
        <v/>
      </c>
      <c r="P194" s="37">
        <f>IF(ISNUMBER(A194),YEAR(A194),"")</f>
        <v/>
      </c>
    </row>
    <row r="195">
      <c r="A195" s="32" t="n"/>
      <c r="B195" s="33" t="n"/>
      <c r="C195" s="33" t="n"/>
      <c r="D195" s="33" t="n"/>
      <c r="E195" s="33" t="n"/>
      <c r="F195" s="33" t="n"/>
      <c r="G195" s="33" t="n"/>
      <c r="H195" s="33" t="n"/>
      <c r="I195" s="34" t="n"/>
      <c r="J195" s="33" t="n"/>
      <c r="K195" s="33" t="n"/>
      <c r="L195" s="33" t="n"/>
      <c r="M195" s="35">
        <f>IF(H195="","",IFERROR(INDEX(Parceiros!$E$5:$E$54,MATCH(H195,Parceiros!$A$5:$A$54,0)),0))</f>
        <v/>
      </c>
      <c r="N195" s="36">
        <f>IF(OR(H195="",I195="",K195="Cancelado"),0,I195*N(M195))</f>
        <v/>
      </c>
      <c r="O195" s="37">
        <f>IF(ISNUMBER(A195),MONTH(A195),"")</f>
        <v/>
      </c>
      <c r="P195" s="37">
        <f>IF(ISNUMBER(A195),YEAR(A195),"")</f>
        <v/>
      </c>
    </row>
    <row r="196">
      <c r="A196" s="32" t="n"/>
      <c r="B196" s="33" t="n"/>
      <c r="C196" s="33" t="n"/>
      <c r="D196" s="33" t="n"/>
      <c r="E196" s="33" t="n"/>
      <c r="F196" s="33" t="n"/>
      <c r="G196" s="33" t="n"/>
      <c r="H196" s="33" t="n"/>
      <c r="I196" s="34" t="n"/>
      <c r="J196" s="33" t="n"/>
      <c r="K196" s="33" t="n"/>
      <c r="L196" s="33" t="n"/>
      <c r="M196" s="35">
        <f>IF(H196="","",IFERROR(INDEX(Parceiros!$E$5:$E$54,MATCH(H196,Parceiros!$A$5:$A$54,0)),0))</f>
        <v/>
      </c>
      <c r="N196" s="36">
        <f>IF(OR(H196="",I196="",K196="Cancelado"),0,I196*N(M196))</f>
        <v/>
      </c>
      <c r="O196" s="37">
        <f>IF(ISNUMBER(A196),MONTH(A196),"")</f>
        <v/>
      </c>
      <c r="P196" s="37">
        <f>IF(ISNUMBER(A196),YEAR(A196),"")</f>
        <v/>
      </c>
    </row>
    <row r="197">
      <c r="A197" s="32" t="n"/>
      <c r="B197" s="33" t="n"/>
      <c r="C197" s="33" t="n"/>
      <c r="D197" s="33" t="n"/>
      <c r="E197" s="33" t="n"/>
      <c r="F197" s="33" t="n"/>
      <c r="G197" s="33" t="n"/>
      <c r="H197" s="33" t="n"/>
      <c r="I197" s="34" t="n"/>
      <c r="J197" s="33" t="n"/>
      <c r="K197" s="33" t="n"/>
      <c r="L197" s="33" t="n"/>
      <c r="M197" s="35">
        <f>IF(H197="","",IFERROR(INDEX(Parceiros!$E$5:$E$54,MATCH(H197,Parceiros!$A$5:$A$54,0)),0))</f>
        <v/>
      </c>
      <c r="N197" s="36">
        <f>IF(OR(H197="",I197="",K197="Cancelado"),0,I197*N(M197))</f>
        <v/>
      </c>
      <c r="O197" s="37">
        <f>IF(ISNUMBER(A197),MONTH(A197),"")</f>
        <v/>
      </c>
      <c r="P197" s="37">
        <f>IF(ISNUMBER(A197),YEAR(A197),"")</f>
        <v/>
      </c>
    </row>
    <row r="198">
      <c r="A198" s="32" t="n"/>
      <c r="B198" s="33" t="n"/>
      <c r="C198" s="33" t="n"/>
      <c r="D198" s="33" t="n"/>
      <c r="E198" s="33" t="n"/>
      <c r="F198" s="33" t="n"/>
      <c r="G198" s="33" t="n"/>
      <c r="H198" s="33" t="n"/>
      <c r="I198" s="34" t="n"/>
      <c r="J198" s="33" t="n"/>
      <c r="K198" s="33" t="n"/>
      <c r="L198" s="33" t="n"/>
      <c r="M198" s="35">
        <f>IF(H198="","",IFERROR(INDEX(Parceiros!$E$5:$E$54,MATCH(H198,Parceiros!$A$5:$A$54,0)),0))</f>
        <v/>
      </c>
      <c r="N198" s="36">
        <f>IF(OR(H198="",I198="",K198="Cancelado"),0,I198*N(M198))</f>
        <v/>
      </c>
      <c r="O198" s="37">
        <f>IF(ISNUMBER(A198),MONTH(A198),"")</f>
        <v/>
      </c>
      <c r="P198" s="37">
        <f>IF(ISNUMBER(A198),YEAR(A198),"")</f>
        <v/>
      </c>
    </row>
    <row r="199">
      <c r="A199" s="32" t="n"/>
      <c r="B199" s="33" t="n"/>
      <c r="C199" s="33" t="n"/>
      <c r="D199" s="33" t="n"/>
      <c r="E199" s="33" t="n"/>
      <c r="F199" s="33" t="n"/>
      <c r="G199" s="33" t="n"/>
      <c r="H199" s="33" t="n"/>
      <c r="I199" s="34" t="n"/>
      <c r="J199" s="33" t="n"/>
      <c r="K199" s="33" t="n"/>
      <c r="L199" s="33" t="n"/>
      <c r="M199" s="35">
        <f>IF(H199="","",IFERROR(INDEX(Parceiros!$E$5:$E$54,MATCH(H199,Parceiros!$A$5:$A$54,0)),0))</f>
        <v/>
      </c>
      <c r="N199" s="36">
        <f>IF(OR(H199="",I199="",K199="Cancelado"),0,I199*N(M199))</f>
        <v/>
      </c>
      <c r="O199" s="37">
        <f>IF(ISNUMBER(A199),MONTH(A199),"")</f>
        <v/>
      </c>
      <c r="P199" s="37">
        <f>IF(ISNUMBER(A199),YEAR(A199),"")</f>
        <v/>
      </c>
    </row>
    <row r="200">
      <c r="A200" s="32" t="n"/>
      <c r="B200" s="33" t="n"/>
      <c r="C200" s="33" t="n"/>
      <c r="D200" s="33" t="n"/>
      <c r="E200" s="33" t="n"/>
      <c r="F200" s="33" t="n"/>
      <c r="G200" s="33" t="n"/>
      <c r="H200" s="33" t="n"/>
      <c r="I200" s="34" t="n"/>
      <c r="J200" s="33" t="n"/>
      <c r="K200" s="33" t="n"/>
      <c r="L200" s="33" t="n"/>
      <c r="M200" s="35">
        <f>IF(H200="","",IFERROR(INDEX(Parceiros!$E$5:$E$54,MATCH(H200,Parceiros!$A$5:$A$54,0)),0))</f>
        <v/>
      </c>
      <c r="N200" s="36">
        <f>IF(OR(H200="",I200="",K200="Cancelado"),0,I200*N(M200))</f>
        <v/>
      </c>
      <c r="O200" s="37">
        <f>IF(ISNUMBER(A200),MONTH(A200),"")</f>
        <v/>
      </c>
      <c r="P200" s="37">
        <f>IF(ISNUMBER(A200),YEAR(A200),"")</f>
        <v/>
      </c>
    </row>
    <row r="201">
      <c r="A201" s="32" t="n"/>
      <c r="B201" s="33" t="n"/>
      <c r="C201" s="33" t="n"/>
      <c r="D201" s="33" t="n"/>
      <c r="E201" s="33" t="n"/>
      <c r="F201" s="33" t="n"/>
      <c r="G201" s="33" t="n"/>
      <c r="H201" s="33" t="n"/>
      <c r="I201" s="34" t="n"/>
      <c r="J201" s="33" t="n"/>
      <c r="K201" s="33" t="n"/>
      <c r="L201" s="33" t="n"/>
      <c r="M201" s="35">
        <f>IF(H201="","",IFERROR(INDEX(Parceiros!$E$5:$E$54,MATCH(H201,Parceiros!$A$5:$A$54,0)),0))</f>
        <v/>
      </c>
      <c r="N201" s="36">
        <f>IF(OR(H201="",I201="",K201="Cancelado"),0,I201*N(M201))</f>
        <v/>
      </c>
      <c r="O201" s="37">
        <f>IF(ISNUMBER(A201),MONTH(A201),"")</f>
        <v/>
      </c>
      <c r="P201" s="37">
        <f>IF(ISNUMBER(A201),YEAR(A201),"")</f>
        <v/>
      </c>
    </row>
    <row r="202">
      <c r="A202" s="32" t="n"/>
      <c r="B202" s="33" t="n"/>
      <c r="C202" s="33" t="n"/>
      <c r="D202" s="33" t="n"/>
      <c r="E202" s="33" t="n"/>
      <c r="F202" s="33" t="n"/>
      <c r="G202" s="33" t="n"/>
      <c r="H202" s="33" t="n"/>
      <c r="I202" s="34" t="n"/>
      <c r="J202" s="33" t="n"/>
      <c r="K202" s="33" t="n"/>
      <c r="L202" s="33" t="n"/>
      <c r="M202" s="35">
        <f>IF(H202="","",IFERROR(INDEX(Parceiros!$E$5:$E$54,MATCH(H202,Parceiros!$A$5:$A$54,0)),0))</f>
        <v/>
      </c>
      <c r="N202" s="36">
        <f>IF(OR(H202="",I202="",K202="Cancelado"),0,I202*N(M202))</f>
        <v/>
      </c>
      <c r="O202" s="37">
        <f>IF(ISNUMBER(A202),MONTH(A202),"")</f>
        <v/>
      </c>
      <c r="P202" s="37">
        <f>IF(ISNUMBER(A202),YEAR(A202),"")</f>
        <v/>
      </c>
    </row>
    <row r="203">
      <c r="A203" s="32" t="n"/>
      <c r="B203" s="33" t="n"/>
      <c r="C203" s="33" t="n"/>
      <c r="D203" s="33" t="n"/>
      <c r="E203" s="33" t="n"/>
      <c r="F203" s="33" t="n"/>
      <c r="G203" s="33" t="n"/>
      <c r="H203" s="33" t="n"/>
      <c r="I203" s="34" t="n"/>
      <c r="J203" s="33" t="n"/>
      <c r="K203" s="33" t="n"/>
      <c r="L203" s="33" t="n"/>
      <c r="M203" s="35">
        <f>IF(H203="","",IFERROR(INDEX(Parceiros!$E$5:$E$54,MATCH(H203,Parceiros!$A$5:$A$54,0)),0))</f>
        <v/>
      </c>
      <c r="N203" s="36">
        <f>IF(OR(H203="",I203="",K203="Cancelado"),0,I203*N(M203))</f>
        <v/>
      </c>
      <c r="O203" s="37">
        <f>IF(ISNUMBER(A203),MONTH(A203),"")</f>
        <v/>
      </c>
      <c r="P203" s="37">
        <f>IF(ISNUMBER(A203),YEAR(A203),"")</f>
        <v/>
      </c>
    </row>
    <row r="204">
      <c r="A204" s="32" t="n"/>
      <c r="B204" s="33" t="n"/>
      <c r="C204" s="33" t="n"/>
      <c r="D204" s="33" t="n"/>
      <c r="E204" s="33" t="n"/>
      <c r="F204" s="33" t="n"/>
      <c r="G204" s="33" t="n"/>
      <c r="H204" s="33" t="n"/>
      <c r="I204" s="34" t="n"/>
      <c r="J204" s="33" t="n"/>
      <c r="K204" s="33" t="n"/>
      <c r="L204" s="33" t="n"/>
      <c r="M204" s="35">
        <f>IF(H204="","",IFERROR(INDEX(Parceiros!$E$5:$E$54,MATCH(H204,Parceiros!$A$5:$A$54,0)),0))</f>
        <v/>
      </c>
      <c r="N204" s="36">
        <f>IF(OR(H204="",I204="",K204="Cancelado"),0,I204*N(M204))</f>
        <v/>
      </c>
      <c r="O204" s="37">
        <f>IF(ISNUMBER(A204),MONTH(A204),"")</f>
        <v/>
      </c>
      <c r="P204" s="37">
        <f>IF(ISNUMBER(A204),YEAR(A204),"")</f>
        <v/>
      </c>
    </row>
    <row r="205">
      <c r="A205" s="32" t="n"/>
      <c r="B205" s="33" t="n"/>
      <c r="C205" s="33" t="n"/>
      <c r="D205" s="33" t="n"/>
      <c r="E205" s="33" t="n"/>
      <c r="F205" s="33" t="n"/>
      <c r="G205" s="33" t="n"/>
      <c r="H205" s="33" t="n"/>
      <c r="I205" s="34" t="n"/>
      <c r="J205" s="33" t="n"/>
      <c r="K205" s="33" t="n"/>
      <c r="L205" s="33" t="n"/>
      <c r="M205" s="35">
        <f>IF(H205="","",IFERROR(INDEX(Parceiros!$E$5:$E$54,MATCH(H205,Parceiros!$A$5:$A$54,0)),0))</f>
        <v/>
      </c>
      <c r="N205" s="36">
        <f>IF(OR(H205="",I205="",K205="Cancelado"),0,I205*N(M205))</f>
        <v/>
      </c>
      <c r="O205" s="37">
        <f>IF(ISNUMBER(A205),MONTH(A205),"")</f>
        <v/>
      </c>
      <c r="P205" s="37">
        <f>IF(ISNUMBER(A205),YEAR(A205),"")</f>
        <v/>
      </c>
    </row>
    <row r="206">
      <c r="A206" s="32" t="n"/>
      <c r="B206" s="33" t="n"/>
      <c r="C206" s="33" t="n"/>
      <c r="D206" s="33" t="n"/>
      <c r="E206" s="33" t="n"/>
      <c r="F206" s="33" t="n"/>
      <c r="G206" s="33" t="n"/>
      <c r="H206" s="33" t="n"/>
      <c r="I206" s="34" t="n"/>
      <c r="J206" s="33" t="n"/>
      <c r="K206" s="33" t="n"/>
      <c r="L206" s="33" t="n"/>
      <c r="M206" s="35">
        <f>IF(H206="","",IFERROR(INDEX(Parceiros!$E$5:$E$54,MATCH(H206,Parceiros!$A$5:$A$54,0)),0))</f>
        <v/>
      </c>
      <c r="N206" s="36">
        <f>IF(OR(H206="",I206="",K206="Cancelado"),0,I206*N(M206))</f>
        <v/>
      </c>
      <c r="O206" s="37">
        <f>IF(ISNUMBER(A206),MONTH(A206),"")</f>
        <v/>
      </c>
      <c r="P206" s="37">
        <f>IF(ISNUMBER(A206),YEAR(A206),"")</f>
        <v/>
      </c>
    </row>
    <row r="207">
      <c r="A207" s="32" t="n"/>
      <c r="B207" s="33" t="n"/>
      <c r="C207" s="33" t="n"/>
      <c r="D207" s="33" t="n"/>
      <c r="E207" s="33" t="n"/>
      <c r="F207" s="33" t="n"/>
      <c r="G207" s="33" t="n"/>
      <c r="H207" s="33" t="n"/>
      <c r="I207" s="34" t="n"/>
      <c r="J207" s="33" t="n"/>
      <c r="K207" s="33" t="n"/>
      <c r="L207" s="33" t="n"/>
      <c r="M207" s="35">
        <f>IF(H207="","",IFERROR(INDEX(Parceiros!$E$5:$E$54,MATCH(H207,Parceiros!$A$5:$A$54,0)),0))</f>
        <v/>
      </c>
      <c r="N207" s="36">
        <f>IF(OR(H207="",I207="",K207="Cancelado"),0,I207*N(M207))</f>
        <v/>
      </c>
      <c r="O207" s="37">
        <f>IF(ISNUMBER(A207),MONTH(A207),"")</f>
        <v/>
      </c>
      <c r="P207" s="37">
        <f>IF(ISNUMBER(A207),YEAR(A207),"")</f>
        <v/>
      </c>
    </row>
    <row r="208">
      <c r="A208" s="32" t="n"/>
      <c r="B208" s="33" t="n"/>
      <c r="C208" s="33" t="n"/>
      <c r="D208" s="33" t="n"/>
      <c r="E208" s="33" t="n"/>
      <c r="F208" s="33" t="n"/>
      <c r="G208" s="33" t="n"/>
      <c r="H208" s="33" t="n"/>
      <c r="I208" s="34" t="n"/>
      <c r="J208" s="33" t="n"/>
      <c r="K208" s="33" t="n"/>
      <c r="L208" s="33" t="n"/>
      <c r="M208" s="35">
        <f>IF(H208="","",IFERROR(INDEX(Parceiros!$E$5:$E$54,MATCH(H208,Parceiros!$A$5:$A$54,0)),0))</f>
        <v/>
      </c>
      <c r="N208" s="36">
        <f>IF(OR(H208="",I208="",K208="Cancelado"),0,I208*N(M208))</f>
        <v/>
      </c>
      <c r="O208" s="37">
        <f>IF(ISNUMBER(A208),MONTH(A208),"")</f>
        <v/>
      </c>
      <c r="P208" s="37">
        <f>IF(ISNUMBER(A208),YEAR(A208),"")</f>
        <v/>
      </c>
    </row>
    <row r="209">
      <c r="A209" s="32" t="n"/>
      <c r="B209" s="33" t="n"/>
      <c r="C209" s="33" t="n"/>
      <c r="D209" s="33" t="n"/>
      <c r="E209" s="33" t="n"/>
      <c r="F209" s="33" t="n"/>
      <c r="G209" s="33" t="n"/>
      <c r="H209" s="33" t="n"/>
      <c r="I209" s="34" t="n"/>
      <c r="J209" s="33" t="n"/>
      <c r="K209" s="33" t="n"/>
      <c r="L209" s="33" t="n"/>
      <c r="M209" s="35">
        <f>IF(H209="","",IFERROR(INDEX(Parceiros!$E$5:$E$54,MATCH(H209,Parceiros!$A$5:$A$54,0)),0))</f>
        <v/>
      </c>
      <c r="N209" s="36">
        <f>IF(OR(H209="",I209="",K209="Cancelado"),0,I209*N(M209))</f>
        <v/>
      </c>
      <c r="O209" s="37">
        <f>IF(ISNUMBER(A209),MONTH(A209),"")</f>
        <v/>
      </c>
      <c r="P209" s="37">
        <f>IF(ISNUMBER(A209),YEAR(A209),"")</f>
        <v/>
      </c>
    </row>
    <row r="210">
      <c r="A210" s="32" t="n"/>
      <c r="B210" s="33" t="n"/>
      <c r="C210" s="33" t="n"/>
      <c r="D210" s="33" t="n"/>
      <c r="E210" s="33" t="n"/>
      <c r="F210" s="33" t="n"/>
      <c r="G210" s="33" t="n"/>
      <c r="H210" s="33" t="n"/>
      <c r="I210" s="34" t="n"/>
      <c r="J210" s="33" t="n"/>
      <c r="K210" s="33" t="n"/>
      <c r="L210" s="33" t="n"/>
      <c r="M210" s="35">
        <f>IF(H210="","",IFERROR(INDEX(Parceiros!$E$5:$E$54,MATCH(H210,Parceiros!$A$5:$A$54,0)),0))</f>
        <v/>
      </c>
      <c r="N210" s="36">
        <f>IF(OR(H210="",I210="",K210="Cancelado"),0,I210*N(M210))</f>
        <v/>
      </c>
      <c r="O210" s="37">
        <f>IF(ISNUMBER(A210),MONTH(A210),"")</f>
        <v/>
      </c>
      <c r="P210" s="37">
        <f>IF(ISNUMBER(A210),YEAR(A210),"")</f>
        <v/>
      </c>
    </row>
    <row r="211">
      <c r="A211" s="32" t="n"/>
      <c r="B211" s="33" t="n"/>
      <c r="C211" s="33" t="n"/>
      <c r="D211" s="33" t="n"/>
      <c r="E211" s="33" t="n"/>
      <c r="F211" s="33" t="n"/>
      <c r="G211" s="33" t="n"/>
      <c r="H211" s="33" t="n"/>
      <c r="I211" s="34" t="n"/>
      <c r="J211" s="33" t="n"/>
      <c r="K211" s="33" t="n"/>
      <c r="L211" s="33" t="n"/>
      <c r="M211" s="35">
        <f>IF(H211="","",IFERROR(INDEX(Parceiros!$E$5:$E$54,MATCH(H211,Parceiros!$A$5:$A$54,0)),0))</f>
        <v/>
      </c>
      <c r="N211" s="36">
        <f>IF(OR(H211="",I211="",K211="Cancelado"),0,I211*N(M211))</f>
        <v/>
      </c>
      <c r="O211" s="37">
        <f>IF(ISNUMBER(A211),MONTH(A211),"")</f>
        <v/>
      </c>
      <c r="P211" s="37">
        <f>IF(ISNUMBER(A211),YEAR(A211),"")</f>
        <v/>
      </c>
    </row>
    <row r="212">
      <c r="A212" s="32" t="n"/>
      <c r="B212" s="33" t="n"/>
      <c r="C212" s="33" t="n"/>
      <c r="D212" s="33" t="n"/>
      <c r="E212" s="33" t="n"/>
      <c r="F212" s="33" t="n"/>
      <c r="G212" s="33" t="n"/>
      <c r="H212" s="33" t="n"/>
      <c r="I212" s="34" t="n"/>
      <c r="J212" s="33" t="n"/>
      <c r="K212" s="33" t="n"/>
      <c r="L212" s="33" t="n"/>
      <c r="M212" s="35">
        <f>IF(H212="","",IFERROR(INDEX(Parceiros!$E$5:$E$54,MATCH(H212,Parceiros!$A$5:$A$54,0)),0))</f>
        <v/>
      </c>
      <c r="N212" s="36">
        <f>IF(OR(H212="",I212="",K212="Cancelado"),0,I212*N(M212))</f>
        <v/>
      </c>
      <c r="O212" s="37">
        <f>IF(ISNUMBER(A212),MONTH(A212),"")</f>
        <v/>
      </c>
      <c r="P212" s="37">
        <f>IF(ISNUMBER(A212),YEAR(A212),"")</f>
        <v/>
      </c>
    </row>
    <row r="213">
      <c r="A213" s="32" t="n"/>
      <c r="B213" s="33" t="n"/>
      <c r="C213" s="33" t="n"/>
      <c r="D213" s="33" t="n"/>
      <c r="E213" s="33" t="n"/>
      <c r="F213" s="33" t="n"/>
      <c r="G213" s="33" t="n"/>
      <c r="H213" s="33" t="n"/>
      <c r="I213" s="34" t="n"/>
      <c r="J213" s="33" t="n"/>
      <c r="K213" s="33" t="n"/>
      <c r="L213" s="33" t="n"/>
      <c r="M213" s="35">
        <f>IF(H213="","",IFERROR(INDEX(Parceiros!$E$5:$E$54,MATCH(H213,Parceiros!$A$5:$A$54,0)),0))</f>
        <v/>
      </c>
      <c r="N213" s="36">
        <f>IF(OR(H213="",I213="",K213="Cancelado"),0,I213*N(M213))</f>
        <v/>
      </c>
      <c r="O213" s="37">
        <f>IF(ISNUMBER(A213),MONTH(A213),"")</f>
        <v/>
      </c>
      <c r="P213" s="37">
        <f>IF(ISNUMBER(A213),YEAR(A213),"")</f>
        <v/>
      </c>
    </row>
    <row r="214">
      <c r="A214" s="32" t="n"/>
      <c r="B214" s="33" t="n"/>
      <c r="C214" s="33" t="n"/>
      <c r="D214" s="33" t="n"/>
      <c r="E214" s="33" t="n"/>
      <c r="F214" s="33" t="n"/>
      <c r="G214" s="33" t="n"/>
      <c r="H214" s="33" t="n"/>
      <c r="I214" s="34" t="n"/>
      <c r="J214" s="33" t="n"/>
      <c r="K214" s="33" t="n"/>
      <c r="L214" s="33" t="n"/>
      <c r="M214" s="35">
        <f>IF(H214="","",IFERROR(INDEX(Parceiros!$E$5:$E$54,MATCH(H214,Parceiros!$A$5:$A$54,0)),0))</f>
        <v/>
      </c>
      <c r="N214" s="36">
        <f>IF(OR(H214="",I214="",K214="Cancelado"),0,I214*N(M214))</f>
        <v/>
      </c>
      <c r="O214" s="37">
        <f>IF(ISNUMBER(A214),MONTH(A214),"")</f>
        <v/>
      </c>
      <c r="P214" s="37">
        <f>IF(ISNUMBER(A214),YEAR(A214),"")</f>
        <v/>
      </c>
    </row>
    <row r="215">
      <c r="A215" s="32" t="n"/>
      <c r="B215" s="33" t="n"/>
      <c r="C215" s="33" t="n"/>
      <c r="D215" s="33" t="n"/>
      <c r="E215" s="33" t="n"/>
      <c r="F215" s="33" t="n"/>
      <c r="G215" s="33" t="n"/>
      <c r="H215" s="33" t="n"/>
      <c r="I215" s="34" t="n"/>
      <c r="J215" s="33" t="n"/>
      <c r="K215" s="33" t="n"/>
      <c r="L215" s="33" t="n"/>
      <c r="M215" s="35">
        <f>IF(H215="","",IFERROR(INDEX(Parceiros!$E$5:$E$54,MATCH(H215,Parceiros!$A$5:$A$54,0)),0))</f>
        <v/>
      </c>
      <c r="N215" s="36">
        <f>IF(OR(H215="",I215="",K215="Cancelado"),0,I215*N(M215))</f>
        <v/>
      </c>
      <c r="O215" s="37">
        <f>IF(ISNUMBER(A215),MONTH(A215),"")</f>
        <v/>
      </c>
      <c r="P215" s="37">
        <f>IF(ISNUMBER(A215),YEAR(A215),"")</f>
        <v/>
      </c>
    </row>
    <row r="216">
      <c r="A216" s="32" t="n"/>
      <c r="B216" s="33" t="n"/>
      <c r="C216" s="33" t="n"/>
      <c r="D216" s="33" t="n"/>
      <c r="E216" s="33" t="n"/>
      <c r="F216" s="33" t="n"/>
      <c r="G216" s="33" t="n"/>
      <c r="H216" s="33" t="n"/>
      <c r="I216" s="34" t="n"/>
      <c r="J216" s="33" t="n"/>
      <c r="K216" s="33" t="n"/>
      <c r="L216" s="33" t="n"/>
      <c r="M216" s="35">
        <f>IF(H216="","",IFERROR(INDEX(Parceiros!$E$5:$E$54,MATCH(H216,Parceiros!$A$5:$A$54,0)),0))</f>
        <v/>
      </c>
      <c r="N216" s="36">
        <f>IF(OR(H216="",I216="",K216="Cancelado"),0,I216*N(M216))</f>
        <v/>
      </c>
      <c r="O216" s="37">
        <f>IF(ISNUMBER(A216),MONTH(A216),"")</f>
        <v/>
      </c>
      <c r="P216" s="37">
        <f>IF(ISNUMBER(A216),YEAR(A216),"")</f>
        <v/>
      </c>
    </row>
    <row r="217">
      <c r="A217" s="32" t="n"/>
      <c r="B217" s="33" t="n"/>
      <c r="C217" s="33" t="n"/>
      <c r="D217" s="33" t="n"/>
      <c r="E217" s="33" t="n"/>
      <c r="F217" s="33" t="n"/>
      <c r="G217" s="33" t="n"/>
      <c r="H217" s="33" t="n"/>
      <c r="I217" s="34" t="n"/>
      <c r="J217" s="33" t="n"/>
      <c r="K217" s="33" t="n"/>
      <c r="L217" s="33" t="n"/>
      <c r="M217" s="35">
        <f>IF(H217="","",IFERROR(INDEX(Parceiros!$E$5:$E$54,MATCH(H217,Parceiros!$A$5:$A$54,0)),0))</f>
        <v/>
      </c>
      <c r="N217" s="36">
        <f>IF(OR(H217="",I217="",K217="Cancelado"),0,I217*N(M217))</f>
        <v/>
      </c>
      <c r="O217" s="37">
        <f>IF(ISNUMBER(A217),MONTH(A217),"")</f>
        <v/>
      </c>
      <c r="P217" s="37">
        <f>IF(ISNUMBER(A217),YEAR(A217),"")</f>
        <v/>
      </c>
    </row>
    <row r="218">
      <c r="A218" s="32" t="n"/>
      <c r="B218" s="33" t="n"/>
      <c r="C218" s="33" t="n"/>
      <c r="D218" s="33" t="n"/>
      <c r="E218" s="33" t="n"/>
      <c r="F218" s="33" t="n"/>
      <c r="G218" s="33" t="n"/>
      <c r="H218" s="33" t="n"/>
      <c r="I218" s="34" t="n"/>
      <c r="J218" s="33" t="n"/>
      <c r="K218" s="33" t="n"/>
      <c r="L218" s="33" t="n"/>
      <c r="M218" s="35">
        <f>IF(H218="","",IFERROR(INDEX(Parceiros!$E$5:$E$54,MATCH(H218,Parceiros!$A$5:$A$54,0)),0))</f>
        <v/>
      </c>
      <c r="N218" s="36">
        <f>IF(OR(H218="",I218="",K218="Cancelado"),0,I218*N(M218))</f>
        <v/>
      </c>
      <c r="O218" s="37">
        <f>IF(ISNUMBER(A218),MONTH(A218),"")</f>
        <v/>
      </c>
      <c r="P218" s="37">
        <f>IF(ISNUMBER(A218),YEAR(A218),"")</f>
        <v/>
      </c>
    </row>
    <row r="219">
      <c r="A219" s="32" t="n"/>
      <c r="B219" s="33" t="n"/>
      <c r="C219" s="33" t="n"/>
      <c r="D219" s="33" t="n"/>
      <c r="E219" s="33" t="n"/>
      <c r="F219" s="33" t="n"/>
      <c r="G219" s="33" t="n"/>
      <c r="H219" s="33" t="n"/>
      <c r="I219" s="34" t="n"/>
      <c r="J219" s="33" t="n"/>
      <c r="K219" s="33" t="n"/>
      <c r="L219" s="33" t="n"/>
      <c r="M219" s="35">
        <f>IF(H219="","",IFERROR(INDEX(Parceiros!$E$5:$E$54,MATCH(H219,Parceiros!$A$5:$A$54,0)),0))</f>
        <v/>
      </c>
      <c r="N219" s="36">
        <f>IF(OR(H219="",I219="",K219="Cancelado"),0,I219*N(M219))</f>
        <v/>
      </c>
      <c r="O219" s="37">
        <f>IF(ISNUMBER(A219),MONTH(A219),"")</f>
        <v/>
      </c>
      <c r="P219" s="37">
        <f>IF(ISNUMBER(A219),YEAR(A219),"")</f>
        <v/>
      </c>
    </row>
    <row r="220">
      <c r="A220" s="32" t="n"/>
      <c r="B220" s="33" t="n"/>
      <c r="C220" s="33" t="n"/>
      <c r="D220" s="33" t="n"/>
      <c r="E220" s="33" t="n"/>
      <c r="F220" s="33" t="n"/>
      <c r="G220" s="33" t="n"/>
      <c r="H220" s="33" t="n"/>
      <c r="I220" s="34" t="n"/>
      <c r="J220" s="33" t="n"/>
      <c r="K220" s="33" t="n"/>
      <c r="L220" s="33" t="n"/>
      <c r="M220" s="35">
        <f>IF(H220="","",IFERROR(INDEX(Parceiros!$E$5:$E$54,MATCH(H220,Parceiros!$A$5:$A$54,0)),0))</f>
        <v/>
      </c>
      <c r="N220" s="36">
        <f>IF(OR(H220="",I220="",K220="Cancelado"),0,I220*N(M220))</f>
        <v/>
      </c>
      <c r="O220" s="37">
        <f>IF(ISNUMBER(A220),MONTH(A220),"")</f>
        <v/>
      </c>
      <c r="P220" s="37">
        <f>IF(ISNUMBER(A220),YEAR(A220),"")</f>
        <v/>
      </c>
    </row>
    <row r="221">
      <c r="A221" s="32" t="n"/>
      <c r="B221" s="33" t="n"/>
      <c r="C221" s="33" t="n"/>
      <c r="D221" s="33" t="n"/>
      <c r="E221" s="33" t="n"/>
      <c r="F221" s="33" t="n"/>
      <c r="G221" s="33" t="n"/>
      <c r="H221" s="33" t="n"/>
      <c r="I221" s="34" t="n"/>
      <c r="J221" s="33" t="n"/>
      <c r="K221" s="33" t="n"/>
      <c r="L221" s="33" t="n"/>
      <c r="M221" s="35">
        <f>IF(H221="","",IFERROR(INDEX(Parceiros!$E$5:$E$54,MATCH(H221,Parceiros!$A$5:$A$54,0)),0))</f>
        <v/>
      </c>
      <c r="N221" s="36">
        <f>IF(OR(H221="",I221="",K221="Cancelado"),0,I221*N(M221))</f>
        <v/>
      </c>
      <c r="O221" s="37">
        <f>IF(ISNUMBER(A221),MONTH(A221),"")</f>
        <v/>
      </c>
      <c r="P221" s="37">
        <f>IF(ISNUMBER(A221),YEAR(A221),"")</f>
        <v/>
      </c>
    </row>
    <row r="222">
      <c r="A222" s="32" t="n"/>
      <c r="B222" s="33" t="n"/>
      <c r="C222" s="33" t="n"/>
      <c r="D222" s="33" t="n"/>
      <c r="E222" s="33" t="n"/>
      <c r="F222" s="33" t="n"/>
      <c r="G222" s="33" t="n"/>
      <c r="H222" s="33" t="n"/>
      <c r="I222" s="34" t="n"/>
      <c r="J222" s="33" t="n"/>
      <c r="K222" s="33" t="n"/>
      <c r="L222" s="33" t="n"/>
      <c r="M222" s="35">
        <f>IF(H222="","",IFERROR(INDEX(Parceiros!$E$5:$E$54,MATCH(H222,Parceiros!$A$5:$A$54,0)),0))</f>
        <v/>
      </c>
      <c r="N222" s="36">
        <f>IF(OR(H222="",I222="",K222="Cancelado"),0,I222*N(M222))</f>
        <v/>
      </c>
      <c r="O222" s="37">
        <f>IF(ISNUMBER(A222),MONTH(A222),"")</f>
        <v/>
      </c>
      <c r="P222" s="37">
        <f>IF(ISNUMBER(A222),YEAR(A222),"")</f>
        <v/>
      </c>
    </row>
    <row r="223">
      <c r="A223" s="32" t="n"/>
      <c r="B223" s="33" t="n"/>
      <c r="C223" s="33" t="n"/>
      <c r="D223" s="33" t="n"/>
      <c r="E223" s="33" t="n"/>
      <c r="F223" s="33" t="n"/>
      <c r="G223" s="33" t="n"/>
      <c r="H223" s="33" t="n"/>
      <c r="I223" s="34" t="n"/>
      <c r="J223" s="33" t="n"/>
      <c r="K223" s="33" t="n"/>
      <c r="L223" s="33" t="n"/>
      <c r="M223" s="35">
        <f>IF(H223="","",IFERROR(INDEX(Parceiros!$E$5:$E$54,MATCH(H223,Parceiros!$A$5:$A$54,0)),0))</f>
        <v/>
      </c>
      <c r="N223" s="36">
        <f>IF(OR(H223="",I223="",K223="Cancelado"),0,I223*N(M223))</f>
        <v/>
      </c>
      <c r="O223" s="37">
        <f>IF(ISNUMBER(A223),MONTH(A223),"")</f>
        <v/>
      </c>
      <c r="P223" s="37">
        <f>IF(ISNUMBER(A223),YEAR(A223),"")</f>
        <v/>
      </c>
    </row>
    <row r="224">
      <c r="A224" s="32" t="n"/>
      <c r="B224" s="33" t="n"/>
      <c r="C224" s="33" t="n"/>
      <c r="D224" s="33" t="n"/>
      <c r="E224" s="33" t="n"/>
      <c r="F224" s="33" t="n"/>
      <c r="G224" s="33" t="n"/>
      <c r="H224" s="33" t="n"/>
      <c r="I224" s="34" t="n"/>
      <c r="J224" s="33" t="n"/>
      <c r="K224" s="33" t="n"/>
      <c r="L224" s="33" t="n"/>
      <c r="M224" s="35">
        <f>IF(H224="","",IFERROR(INDEX(Parceiros!$E$5:$E$54,MATCH(H224,Parceiros!$A$5:$A$54,0)),0))</f>
        <v/>
      </c>
      <c r="N224" s="36">
        <f>IF(OR(H224="",I224="",K224="Cancelado"),0,I224*N(M224))</f>
        <v/>
      </c>
      <c r="O224" s="37">
        <f>IF(ISNUMBER(A224),MONTH(A224),"")</f>
        <v/>
      </c>
      <c r="P224" s="37">
        <f>IF(ISNUMBER(A224),YEAR(A224),"")</f>
        <v/>
      </c>
    </row>
    <row r="225">
      <c r="A225" s="32" t="n"/>
      <c r="B225" s="33" t="n"/>
      <c r="C225" s="33" t="n"/>
      <c r="D225" s="33" t="n"/>
      <c r="E225" s="33" t="n"/>
      <c r="F225" s="33" t="n"/>
      <c r="G225" s="33" t="n"/>
      <c r="H225" s="33" t="n"/>
      <c r="I225" s="34" t="n"/>
      <c r="J225" s="33" t="n"/>
      <c r="K225" s="33" t="n"/>
      <c r="L225" s="33" t="n"/>
      <c r="M225" s="35">
        <f>IF(H225="","",IFERROR(INDEX(Parceiros!$E$5:$E$54,MATCH(H225,Parceiros!$A$5:$A$54,0)),0))</f>
        <v/>
      </c>
      <c r="N225" s="36">
        <f>IF(OR(H225="",I225="",K225="Cancelado"),0,I225*N(M225))</f>
        <v/>
      </c>
      <c r="O225" s="37">
        <f>IF(ISNUMBER(A225),MONTH(A225),"")</f>
        <v/>
      </c>
      <c r="P225" s="37">
        <f>IF(ISNUMBER(A225),YEAR(A225),"")</f>
        <v/>
      </c>
    </row>
    <row r="226">
      <c r="A226" s="32" t="n"/>
      <c r="B226" s="33" t="n"/>
      <c r="C226" s="33" t="n"/>
      <c r="D226" s="33" t="n"/>
      <c r="E226" s="33" t="n"/>
      <c r="F226" s="33" t="n"/>
      <c r="G226" s="33" t="n"/>
      <c r="H226" s="33" t="n"/>
      <c r="I226" s="34" t="n"/>
      <c r="J226" s="33" t="n"/>
      <c r="K226" s="33" t="n"/>
      <c r="L226" s="33" t="n"/>
      <c r="M226" s="35">
        <f>IF(H226="","",IFERROR(INDEX(Parceiros!$E$5:$E$54,MATCH(H226,Parceiros!$A$5:$A$54,0)),0))</f>
        <v/>
      </c>
      <c r="N226" s="36">
        <f>IF(OR(H226="",I226="",K226="Cancelado"),0,I226*N(M226))</f>
        <v/>
      </c>
      <c r="O226" s="37">
        <f>IF(ISNUMBER(A226),MONTH(A226),"")</f>
        <v/>
      </c>
      <c r="P226" s="37">
        <f>IF(ISNUMBER(A226),YEAR(A226),"")</f>
        <v/>
      </c>
    </row>
    <row r="227">
      <c r="A227" s="32" t="n"/>
      <c r="B227" s="33" t="n"/>
      <c r="C227" s="33" t="n"/>
      <c r="D227" s="33" t="n"/>
      <c r="E227" s="33" t="n"/>
      <c r="F227" s="33" t="n"/>
      <c r="G227" s="33" t="n"/>
      <c r="H227" s="33" t="n"/>
      <c r="I227" s="34" t="n"/>
      <c r="J227" s="33" t="n"/>
      <c r="K227" s="33" t="n"/>
      <c r="L227" s="33" t="n"/>
      <c r="M227" s="35">
        <f>IF(H227="","",IFERROR(INDEX(Parceiros!$E$5:$E$54,MATCH(H227,Parceiros!$A$5:$A$54,0)),0))</f>
        <v/>
      </c>
      <c r="N227" s="36">
        <f>IF(OR(H227="",I227="",K227="Cancelado"),0,I227*N(M227))</f>
        <v/>
      </c>
      <c r="O227" s="37">
        <f>IF(ISNUMBER(A227),MONTH(A227),"")</f>
        <v/>
      </c>
      <c r="P227" s="37">
        <f>IF(ISNUMBER(A227),YEAR(A227),"")</f>
        <v/>
      </c>
    </row>
    <row r="228">
      <c r="A228" s="32" t="n"/>
      <c r="B228" s="33" t="n"/>
      <c r="C228" s="33" t="n"/>
      <c r="D228" s="33" t="n"/>
      <c r="E228" s="33" t="n"/>
      <c r="F228" s="33" t="n"/>
      <c r="G228" s="33" t="n"/>
      <c r="H228" s="33" t="n"/>
      <c r="I228" s="34" t="n"/>
      <c r="J228" s="33" t="n"/>
      <c r="K228" s="33" t="n"/>
      <c r="L228" s="33" t="n"/>
      <c r="M228" s="35">
        <f>IF(H228="","",IFERROR(INDEX(Parceiros!$E$5:$E$54,MATCH(H228,Parceiros!$A$5:$A$54,0)),0))</f>
        <v/>
      </c>
      <c r="N228" s="36">
        <f>IF(OR(H228="",I228="",K228="Cancelado"),0,I228*N(M228))</f>
        <v/>
      </c>
      <c r="O228" s="37">
        <f>IF(ISNUMBER(A228),MONTH(A228),"")</f>
        <v/>
      </c>
      <c r="P228" s="37">
        <f>IF(ISNUMBER(A228),YEAR(A228),"")</f>
        <v/>
      </c>
    </row>
    <row r="229">
      <c r="A229" s="32" t="n"/>
      <c r="B229" s="33" t="n"/>
      <c r="C229" s="33" t="n"/>
      <c r="D229" s="33" t="n"/>
      <c r="E229" s="33" t="n"/>
      <c r="F229" s="33" t="n"/>
      <c r="G229" s="33" t="n"/>
      <c r="H229" s="33" t="n"/>
      <c r="I229" s="34" t="n"/>
      <c r="J229" s="33" t="n"/>
      <c r="K229" s="33" t="n"/>
      <c r="L229" s="33" t="n"/>
      <c r="M229" s="35">
        <f>IF(H229="","",IFERROR(INDEX(Parceiros!$E$5:$E$54,MATCH(H229,Parceiros!$A$5:$A$54,0)),0))</f>
        <v/>
      </c>
      <c r="N229" s="36">
        <f>IF(OR(H229="",I229="",K229="Cancelado"),0,I229*N(M229))</f>
        <v/>
      </c>
      <c r="O229" s="37">
        <f>IF(ISNUMBER(A229),MONTH(A229),"")</f>
        <v/>
      </c>
      <c r="P229" s="37">
        <f>IF(ISNUMBER(A229),YEAR(A229),"")</f>
        <v/>
      </c>
    </row>
    <row r="230">
      <c r="A230" s="32" t="n"/>
      <c r="B230" s="33" t="n"/>
      <c r="C230" s="33" t="n"/>
      <c r="D230" s="33" t="n"/>
      <c r="E230" s="33" t="n"/>
      <c r="F230" s="33" t="n"/>
      <c r="G230" s="33" t="n"/>
      <c r="H230" s="33" t="n"/>
      <c r="I230" s="34" t="n"/>
      <c r="J230" s="33" t="n"/>
      <c r="K230" s="33" t="n"/>
      <c r="L230" s="33" t="n"/>
      <c r="M230" s="35">
        <f>IF(H230="","",IFERROR(INDEX(Parceiros!$E$5:$E$54,MATCH(H230,Parceiros!$A$5:$A$54,0)),0))</f>
        <v/>
      </c>
      <c r="N230" s="36">
        <f>IF(OR(H230="",I230="",K230="Cancelado"),0,I230*N(M230))</f>
        <v/>
      </c>
      <c r="O230" s="37">
        <f>IF(ISNUMBER(A230),MONTH(A230),"")</f>
        <v/>
      </c>
      <c r="P230" s="37">
        <f>IF(ISNUMBER(A230),YEAR(A230),"")</f>
        <v/>
      </c>
    </row>
    <row r="231">
      <c r="A231" s="32" t="n"/>
      <c r="B231" s="33" t="n"/>
      <c r="C231" s="33" t="n"/>
      <c r="D231" s="33" t="n"/>
      <c r="E231" s="33" t="n"/>
      <c r="F231" s="33" t="n"/>
      <c r="G231" s="33" t="n"/>
      <c r="H231" s="33" t="n"/>
      <c r="I231" s="34" t="n"/>
      <c r="J231" s="33" t="n"/>
      <c r="K231" s="33" t="n"/>
      <c r="L231" s="33" t="n"/>
      <c r="M231" s="35">
        <f>IF(H231="","",IFERROR(INDEX(Parceiros!$E$5:$E$54,MATCH(H231,Parceiros!$A$5:$A$54,0)),0))</f>
        <v/>
      </c>
      <c r="N231" s="36">
        <f>IF(OR(H231="",I231="",K231="Cancelado"),0,I231*N(M231))</f>
        <v/>
      </c>
      <c r="O231" s="37">
        <f>IF(ISNUMBER(A231),MONTH(A231),"")</f>
        <v/>
      </c>
      <c r="P231" s="37">
        <f>IF(ISNUMBER(A231),YEAR(A231),"")</f>
        <v/>
      </c>
    </row>
    <row r="232">
      <c r="A232" s="32" t="n"/>
      <c r="B232" s="33" t="n"/>
      <c r="C232" s="33" t="n"/>
      <c r="D232" s="33" t="n"/>
      <c r="E232" s="33" t="n"/>
      <c r="F232" s="33" t="n"/>
      <c r="G232" s="33" t="n"/>
      <c r="H232" s="33" t="n"/>
      <c r="I232" s="34" t="n"/>
      <c r="J232" s="33" t="n"/>
      <c r="K232" s="33" t="n"/>
      <c r="L232" s="33" t="n"/>
      <c r="M232" s="35">
        <f>IF(H232="","",IFERROR(INDEX(Parceiros!$E$5:$E$54,MATCH(H232,Parceiros!$A$5:$A$54,0)),0))</f>
        <v/>
      </c>
      <c r="N232" s="36">
        <f>IF(OR(H232="",I232="",K232="Cancelado"),0,I232*N(M232))</f>
        <v/>
      </c>
      <c r="O232" s="37">
        <f>IF(ISNUMBER(A232),MONTH(A232),"")</f>
        <v/>
      </c>
      <c r="P232" s="37">
        <f>IF(ISNUMBER(A232),YEAR(A232),"")</f>
        <v/>
      </c>
    </row>
    <row r="233">
      <c r="A233" s="32" t="n"/>
      <c r="B233" s="33" t="n"/>
      <c r="C233" s="33" t="n"/>
      <c r="D233" s="33" t="n"/>
      <c r="E233" s="33" t="n"/>
      <c r="F233" s="33" t="n"/>
      <c r="G233" s="33" t="n"/>
      <c r="H233" s="33" t="n"/>
      <c r="I233" s="34" t="n"/>
      <c r="J233" s="33" t="n"/>
      <c r="K233" s="33" t="n"/>
      <c r="L233" s="33" t="n"/>
      <c r="M233" s="35">
        <f>IF(H233="","",IFERROR(INDEX(Parceiros!$E$5:$E$54,MATCH(H233,Parceiros!$A$5:$A$54,0)),0))</f>
        <v/>
      </c>
      <c r="N233" s="36">
        <f>IF(OR(H233="",I233="",K233="Cancelado"),0,I233*N(M233))</f>
        <v/>
      </c>
      <c r="O233" s="37">
        <f>IF(ISNUMBER(A233),MONTH(A233),"")</f>
        <v/>
      </c>
      <c r="P233" s="37">
        <f>IF(ISNUMBER(A233),YEAR(A233),"")</f>
        <v/>
      </c>
    </row>
    <row r="234">
      <c r="A234" s="32" t="n"/>
      <c r="B234" s="33" t="n"/>
      <c r="C234" s="33" t="n"/>
      <c r="D234" s="33" t="n"/>
      <c r="E234" s="33" t="n"/>
      <c r="F234" s="33" t="n"/>
      <c r="G234" s="33" t="n"/>
      <c r="H234" s="33" t="n"/>
      <c r="I234" s="34" t="n"/>
      <c r="J234" s="33" t="n"/>
      <c r="K234" s="33" t="n"/>
      <c r="L234" s="33" t="n"/>
      <c r="M234" s="35">
        <f>IF(H234="","",IFERROR(INDEX(Parceiros!$E$5:$E$54,MATCH(H234,Parceiros!$A$5:$A$54,0)),0))</f>
        <v/>
      </c>
      <c r="N234" s="36">
        <f>IF(OR(H234="",I234="",K234="Cancelado"),0,I234*N(M234))</f>
        <v/>
      </c>
      <c r="O234" s="37">
        <f>IF(ISNUMBER(A234),MONTH(A234),"")</f>
        <v/>
      </c>
      <c r="P234" s="37">
        <f>IF(ISNUMBER(A234),YEAR(A234),"")</f>
        <v/>
      </c>
    </row>
    <row r="235">
      <c r="A235" s="32" t="n"/>
      <c r="B235" s="33" t="n"/>
      <c r="C235" s="33" t="n"/>
      <c r="D235" s="33" t="n"/>
      <c r="E235" s="33" t="n"/>
      <c r="F235" s="33" t="n"/>
      <c r="G235" s="33" t="n"/>
      <c r="H235" s="33" t="n"/>
      <c r="I235" s="34" t="n"/>
      <c r="J235" s="33" t="n"/>
      <c r="K235" s="33" t="n"/>
      <c r="L235" s="33" t="n"/>
      <c r="M235" s="35">
        <f>IF(H235="","",IFERROR(INDEX(Parceiros!$E$5:$E$54,MATCH(H235,Parceiros!$A$5:$A$54,0)),0))</f>
        <v/>
      </c>
      <c r="N235" s="36">
        <f>IF(OR(H235="",I235="",K235="Cancelado"),0,I235*N(M235))</f>
        <v/>
      </c>
      <c r="O235" s="37">
        <f>IF(ISNUMBER(A235),MONTH(A235),"")</f>
        <v/>
      </c>
      <c r="P235" s="37">
        <f>IF(ISNUMBER(A235),YEAR(A235),"")</f>
        <v/>
      </c>
    </row>
    <row r="236">
      <c r="A236" s="32" t="n"/>
      <c r="B236" s="33" t="n"/>
      <c r="C236" s="33" t="n"/>
      <c r="D236" s="33" t="n"/>
      <c r="E236" s="33" t="n"/>
      <c r="F236" s="33" t="n"/>
      <c r="G236" s="33" t="n"/>
      <c r="H236" s="33" t="n"/>
      <c r="I236" s="34" t="n"/>
      <c r="J236" s="33" t="n"/>
      <c r="K236" s="33" t="n"/>
      <c r="L236" s="33" t="n"/>
      <c r="M236" s="35">
        <f>IF(H236="","",IFERROR(INDEX(Parceiros!$E$5:$E$54,MATCH(H236,Parceiros!$A$5:$A$54,0)),0))</f>
        <v/>
      </c>
      <c r="N236" s="36">
        <f>IF(OR(H236="",I236="",K236="Cancelado"),0,I236*N(M236))</f>
        <v/>
      </c>
      <c r="O236" s="37">
        <f>IF(ISNUMBER(A236),MONTH(A236),"")</f>
        <v/>
      </c>
      <c r="P236" s="37">
        <f>IF(ISNUMBER(A236),YEAR(A236),"")</f>
        <v/>
      </c>
    </row>
    <row r="237">
      <c r="A237" s="32" t="n"/>
      <c r="B237" s="33" t="n"/>
      <c r="C237" s="33" t="n"/>
      <c r="D237" s="33" t="n"/>
      <c r="E237" s="33" t="n"/>
      <c r="F237" s="33" t="n"/>
      <c r="G237" s="33" t="n"/>
      <c r="H237" s="33" t="n"/>
      <c r="I237" s="34" t="n"/>
      <c r="J237" s="33" t="n"/>
      <c r="K237" s="33" t="n"/>
      <c r="L237" s="33" t="n"/>
      <c r="M237" s="35">
        <f>IF(H237="","",IFERROR(INDEX(Parceiros!$E$5:$E$54,MATCH(H237,Parceiros!$A$5:$A$54,0)),0))</f>
        <v/>
      </c>
      <c r="N237" s="36">
        <f>IF(OR(H237="",I237="",K237="Cancelado"),0,I237*N(M237))</f>
        <v/>
      </c>
      <c r="O237" s="37">
        <f>IF(ISNUMBER(A237),MONTH(A237),"")</f>
        <v/>
      </c>
      <c r="P237" s="37">
        <f>IF(ISNUMBER(A237),YEAR(A237),"")</f>
        <v/>
      </c>
    </row>
    <row r="238">
      <c r="A238" s="32" t="n"/>
      <c r="B238" s="33" t="n"/>
      <c r="C238" s="33" t="n"/>
      <c r="D238" s="33" t="n"/>
      <c r="E238" s="33" t="n"/>
      <c r="F238" s="33" t="n"/>
      <c r="G238" s="33" t="n"/>
      <c r="H238" s="33" t="n"/>
      <c r="I238" s="34" t="n"/>
      <c r="J238" s="33" t="n"/>
      <c r="K238" s="33" t="n"/>
      <c r="L238" s="33" t="n"/>
      <c r="M238" s="35">
        <f>IF(H238="","",IFERROR(INDEX(Parceiros!$E$5:$E$54,MATCH(H238,Parceiros!$A$5:$A$54,0)),0))</f>
        <v/>
      </c>
      <c r="N238" s="36">
        <f>IF(OR(H238="",I238="",K238="Cancelado"),0,I238*N(M238))</f>
        <v/>
      </c>
      <c r="O238" s="37">
        <f>IF(ISNUMBER(A238),MONTH(A238),"")</f>
        <v/>
      </c>
      <c r="P238" s="37">
        <f>IF(ISNUMBER(A238),YEAR(A238),"")</f>
        <v/>
      </c>
    </row>
    <row r="239">
      <c r="A239" s="32" t="n"/>
      <c r="B239" s="33" t="n"/>
      <c r="C239" s="33" t="n"/>
      <c r="D239" s="33" t="n"/>
      <c r="E239" s="33" t="n"/>
      <c r="F239" s="33" t="n"/>
      <c r="G239" s="33" t="n"/>
      <c r="H239" s="33" t="n"/>
      <c r="I239" s="34" t="n"/>
      <c r="J239" s="33" t="n"/>
      <c r="K239" s="33" t="n"/>
      <c r="L239" s="33" t="n"/>
      <c r="M239" s="35">
        <f>IF(H239="","",IFERROR(INDEX(Parceiros!$E$5:$E$54,MATCH(H239,Parceiros!$A$5:$A$54,0)),0))</f>
        <v/>
      </c>
      <c r="N239" s="36">
        <f>IF(OR(H239="",I239="",K239="Cancelado"),0,I239*N(M239))</f>
        <v/>
      </c>
      <c r="O239" s="37">
        <f>IF(ISNUMBER(A239),MONTH(A239),"")</f>
        <v/>
      </c>
      <c r="P239" s="37">
        <f>IF(ISNUMBER(A239),YEAR(A239),"")</f>
        <v/>
      </c>
    </row>
    <row r="240">
      <c r="A240" s="32" t="n"/>
      <c r="B240" s="33" t="n"/>
      <c r="C240" s="33" t="n"/>
      <c r="D240" s="33" t="n"/>
      <c r="E240" s="33" t="n"/>
      <c r="F240" s="33" t="n"/>
      <c r="G240" s="33" t="n"/>
      <c r="H240" s="33" t="n"/>
      <c r="I240" s="34" t="n"/>
      <c r="J240" s="33" t="n"/>
      <c r="K240" s="33" t="n"/>
      <c r="L240" s="33" t="n"/>
      <c r="M240" s="35">
        <f>IF(H240="","",IFERROR(INDEX(Parceiros!$E$5:$E$54,MATCH(H240,Parceiros!$A$5:$A$54,0)),0))</f>
        <v/>
      </c>
      <c r="N240" s="36">
        <f>IF(OR(H240="",I240="",K240="Cancelado"),0,I240*N(M240))</f>
        <v/>
      </c>
      <c r="O240" s="37">
        <f>IF(ISNUMBER(A240),MONTH(A240),"")</f>
        <v/>
      </c>
      <c r="P240" s="37">
        <f>IF(ISNUMBER(A240),YEAR(A240),"")</f>
        <v/>
      </c>
    </row>
    <row r="241">
      <c r="A241" s="32" t="n"/>
      <c r="B241" s="33" t="n"/>
      <c r="C241" s="33" t="n"/>
      <c r="D241" s="33" t="n"/>
      <c r="E241" s="33" t="n"/>
      <c r="F241" s="33" t="n"/>
      <c r="G241" s="33" t="n"/>
      <c r="H241" s="33" t="n"/>
      <c r="I241" s="34" t="n"/>
      <c r="J241" s="33" t="n"/>
      <c r="K241" s="33" t="n"/>
      <c r="L241" s="33" t="n"/>
      <c r="M241" s="35">
        <f>IF(H241="","",IFERROR(INDEX(Parceiros!$E$5:$E$54,MATCH(H241,Parceiros!$A$5:$A$54,0)),0))</f>
        <v/>
      </c>
      <c r="N241" s="36">
        <f>IF(OR(H241="",I241="",K241="Cancelado"),0,I241*N(M241))</f>
        <v/>
      </c>
      <c r="O241" s="37">
        <f>IF(ISNUMBER(A241),MONTH(A241),"")</f>
        <v/>
      </c>
      <c r="P241" s="37">
        <f>IF(ISNUMBER(A241),YEAR(A241),"")</f>
        <v/>
      </c>
    </row>
    <row r="242">
      <c r="A242" s="32" t="n"/>
      <c r="B242" s="33" t="n"/>
      <c r="C242" s="33" t="n"/>
      <c r="D242" s="33" t="n"/>
      <c r="E242" s="33" t="n"/>
      <c r="F242" s="33" t="n"/>
      <c r="G242" s="33" t="n"/>
      <c r="H242" s="33" t="n"/>
      <c r="I242" s="34" t="n"/>
      <c r="J242" s="33" t="n"/>
      <c r="K242" s="33" t="n"/>
      <c r="L242" s="33" t="n"/>
      <c r="M242" s="35">
        <f>IF(H242="","",IFERROR(INDEX(Parceiros!$E$5:$E$54,MATCH(H242,Parceiros!$A$5:$A$54,0)),0))</f>
        <v/>
      </c>
      <c r="N242" s="36">
        <f>IF(OR(H242="",I242="",K242="Cancelado"),0,I242*N(M242))</f>
        <v/>
      </c>
      <c r="O242" s="37">
        <f>IF(ISNUMBER(A242),MONTH(A242),"")</f>
        <v/>
      </c>
      <c r="P242" s="37">
        <f>IF(ISNUMBER(A242),YEAR(A242),"")</f>
        <v/>
      </c>
    </row>
    <row r="243">
      <c r="A243" s="32" t="n"/>
      <c r="B243" s="33" t="n"/>
      <c r="C243" s="33" t="n"/>
      <c r="D243" s="33" t="n"/>
      <c r="E243" s="33" t="n"/>
      <c r="F243" s="33" t="n"/>
      <c r="G243" s="33" t="n"/>
      <c r="H243" s="33" t="n"/>
      <c r="I243" s="34" t="n"/>
      <c r="J243" s="33" t="n"/>
      <c r="K243" s="33" t="n"/>
      <c r="L243" s="33" t="n"/>
      <c r="M243" s="35">
        <f>IF(H243="","",IFERROR(INDEX(Parceiros!$E$5:$E$54,MATCH(H243,Parceiros!$A$5:$A$54,0)),0))</f>
        <v/>
      </c>
      <c r="N243" s="36">
        <f>IF(OR(H243="",I243="",K243="Cancelado"),0,I243*N(M243))</f>
        <v/>
      </c>
      <c r="O243" s="37">
        <f>IF(ISNUMBER(A243),MONTH(A243),"")</f>
        <v/>
      </c>
      <c r="P243" s="37">
        <f>IF(ISNUMBER(A243),YEAR(A243),"")</f>
        <v/>
      </c>
    </row>
    <row r="244">
      <c r="A244" s="32" t="n"/>
      <c r="B244" s="33" t="n"/>
      <c r="C244" s="33" t="n"/>
      <c r="D244" s="33" t="n"/>
      <c r="E244" s="33" t="n"/>
      <c r="F244" s="33" t="n"/>
      <c r="G244" s="33" t="n"/>
      <c r="H244" s="33" t="n"/>
      <c r="I244" s="34" t="n"/>
      <c r="J244" s="33" t="n"/>
      <c r="K244" s="33" t="n"/>
      <c r="L244" s="33" t="n"/>
      <c r="M244" s="35">
        <f>IF(H244="","",IFERROR(INDEX(Parceiros!$E$5:$E$54,MATCH(H244,Parceiros!$A$5:$A$54,0)),0))</f>
        <v/>
      </c>
      <c r="N244" s="36">
        <f>IF(OR(H244="",I244="",K244="Cancelado"),0,I244*N(M244))</f>
        <v/>
      </c>
      <c r="O244" s="37">
        <f>IF(ISNUMBER(A244),MONTH(A244),"")</f>
        <v/>
      </c>
      <c r="P244" s="37">
        <f>IF(ISNUMBER(A244),YEAR(A244),"")</f>
        <v/>
      </c>
    </row>
    <row r="245">
      <c r="A245" s="32" t="n"/>
      <c r="B245" s="33" t="n"/>
      <c r="C245" s="33" t="n"/>
      <c r="D245" s="33" t="n"/>
      <c r="E245" s="33" t="n"/>
      <c r="F245" s="33" t="n"/>
      <c r="G245" s="33" t="n"/>
      <c r="H245" s="33" t="n"/>
      <c r="I245" s="34" t="n"/>
      <c r="J245" s="33" t="n"/>
      <c r="K245" s="33" t="n"/>
      <c r="L245" s="33" t="n"/>
      <c r="M245" s="35">
        <f>IF(H245="","",IFERROR(INDEX(Parceiros!$E$5:$E$54,MATCH(H245,Parceiros!$A$5:$A$54,0)),0))</f>
        <v/>
      </c>
      <c r="N245" s="36">
        <f>IF(OR(H245="",I245="",K245="Cancelado"),0,I245*N(M245))</f>
        <v/>
      </c>
      <c r="O245" s="37">
        <f>IF(ISNUMBER(A245),MONTH(A245),"")</f>
        <v/>
      </c>
      <c r="P245" s="37">
        <f>IF(ISNUMBER(A245),YEAR(A245),"")</f>
        <v/>
      </c>
    </row>
    <row r="246">
      <c r="A246" s="32" t="n"/>
      <c r="B246" s="33" t="n"/>
      <c r="C246" s="33" t="n"/>
      <c r="D246" s="33" t="n"/>
      <c r="E246" s="33" t="n"/>
      <c r="F246" s="33" t="n"/>
      <c r="G246" s="33" t="n"/>
      <c r="H246" s="33" t="n"/>
      <c r="I246" s="34" t="n"/>
      <c r="J246" s="33" t="n"/>
      <c r="K246" s="33" t="n"/>
      <c r="L246" s="33" t="n"/>
      <c r="M246" s="35">
        <f>IF(H246="","",IFERROR(INDEX(Parceiros!$E$5:$E$54,MATCH(H246,Parceiros!$A$5:$A$54,0)),0))</f>
        <v/>
      </c>
      <c r="N246" s="36">
        <f>IF(OR(H246="",I246="",K246="Cancelado"),0,I246*N(M246))</f>
        <v/>
      </c>
      <c r="O246" s="37">
        <f>IF(ISNUMBER(A246),MONTH(A246),"")</f>
        <v/>
      </c>
      <c r="P246" s="37">
        <f>IF(ISNUMBER(A246),YEAR(A246),"")</f>
        <v/>
      </c>
    </row>
    <row r="247">
      <c r="A247" s="32" t="n"/>
      <c r="B247" s="33" t="n"/>
      <c r="C247" s="33" t="n"/>
      <c r="D247" s="33" t="n"/>
      <c r="E247" s="33" t="n"/>
      <c r="F247" s="33" t="n"/>
      <c r="G247" s="33" t="n"/>
      <c r="H247" s="33" t="n"/>
      <c r="I247" s="34" t="n"/>
      <c r="J247" s="33" t="n"/>
      <c r="K247" s="33" t="n"/>
      <c r="L247" s="33" t="n"/>
      <c r="M247" s="35">
        <f>IF(H247="","",IFERROR(INDEX(Parceiros!$E$5:$E$54,MATCH(H247,Parceiros!$A$5:$A$54,0)),0))</f>
        <v/>
      </c>
      <c r="N247" s="36">
        <f>IF(OR(H247="",I247="",K247="Cancelado"),0,I247*N(M247))</f>
        <v/>
      </c>
      <c r="O247" s="37">
        <f>IF(ISNUMBER(A247),MONTH(A247),"")</f>
        <v/>
      </c>
      <c r="P247" s="37">
        <f>IF(ISNUMBER(A247),YEAR(A247),"")</f>
        <v/>
      </c>
    </row>
    <row r="248">
      <c r="A248" s="32" t="n"/>
      <c r="B248" s="33" t="n"/>
      <c r="C248" s="33" t="n"/>
      <c r="D248" s="33" t="n"/>
      <c r="E248" s="33" t="n"/>
      <c r="F248" s="33" t="n"/>
      <c r="G248" s="33" t="n"/>
      <c r="H248" s="33" t="n"/>
      <c r="I248" s="34" t="n"/>
      <c r="J248" s="33" t="n"/>
      <c r="K248" s="33" t="n"/>
      <c r="L248" s="33" t="n"/>
      <c r="M248" s="35">
        <f>IF(H248="","",IFERROR(INDEX(Parceiros!$E$5:$E$54,MATCH(H248,Parceiros!$A$5:$A$54,0)),0))</f>
        <v/>
      </c>
      <c r="N248" s="36">
        <f>IF(OR(H248="",I248="",K248="Cancelado"),0,I248*N(M248))</f>
        <v/>
      </c>
      <c r="O248" s="37">
        <f>IF(ISNUMBER(A248),MONTH(A248),"")</f>
        <v/>
      </c>
      <c r="P248" s="37">
        <f>IF(ISNUMBER(A248),YEAR(A248),"")</f>
        <v/>
      </c>
    </row>
    <row r="249">
      <c r="A249" s="32" t="n"/>
      <c r="B249" s="33" t="n"/>
      <c r="C249" s="33" t="n"/>
      <c r="D249" s="33" t="n"/>
      <c r="E249" s="33" t="n"/>
      <c r="F249" s="33" t="n"/>
      <c r="G249" s="33" t="n"/>
      <c r="H249" s="33" t="n"/>
      <c r="I249" s="34" t="n"/>
      <c r="J249" s="33" t="n"/>
      <c r="K249" s="33" t="n"/>
      <c r="L249" s="33" t="n"/>
      <c r="M249" s="35">
        <f>IF(H249="","",IFERROR(INDEX(Parceiros!$E$5:$E$54,MATCH(H249,Parceiros!$A$5:$A$54,0)),0))</f>
        <v/>
      </c>
      <c r="N249" s="36">
        <f>IF(OR(H249="",I249="",K249="Cancelado"),0,I249*N(M249))</f>
        <v/>
      </c>
      <c r="O249" s="37">
        <f>IF(ISNUMBER(A249),MONTH(A249),"")</f>
        <v/>
      </c>
      <c r="P249" s="37">
        <f>IF(ISNUMBER(A249),YEAR(A249),"")</f>
        <v/>
      </c>
    </row>
    <row r="250">
      <c r="A250" s="32" t="n"/>
      <c r="B250" s="33" t="n"/>
      <c r="C250" s="33" t="n"/>
      <c r="D250" s="33" t="n"/>
      <c r="E250" s="33" t="n"/>
      <c r="F250" s="33" t="n"/>
      <c r="G250" s="33" t="n"/>
      <c r="H250" s="33" t="n"/>
      <c r="I250" s="34" t="n"/>
      <c r="J250" s="33" t="n"/>
      <c r="K250" s="33" t="n"/>
      <c r="L250" s="33" t="n"/>
      <c r="M250" s="35">
        <f>IF(H250="","",IFERROR(INDEX(Parceiros!$E$5:$E$54,MATCH(H250,Parceiros!$A$5:$A$54,0)),0))</f>
        <v/>
      </c>
      <c r="N250" s="36">
        <f>IF(OR(H250="",I250="",K250="Cancelado"),0,I250*N(M250))</f>
        <v/>
      </c>
      <c r="O250" s="37">
        <f>IF(ISNUMBER(A250),MONTH(A250),"")</f>
        <v/>
      </c>
      <c r="P250" s="37">
        <f>IF(ISNUMBER(A250),YEAR(A250),"")</f>
        <v/>
      </c>
    </row>
    <row r="251">
      <c r="A251" s="32" t="n"/>
      <c r="B251" s="33" t="n"/>
      <c r="C251" s="33" t="n"/>
      <c r="D251" s="33" t="n"/>
      <c r="E251" s="33" t="n"/>
      <c r="F251" s="33" t="n"/>
      <c r="G251" s="33" t="n"/>
      <c r="H251" s="33" t="n"/>
      <c r="I251" s="34" t="n"/>
      <c r="J251" s="33" t="n"/>
      <c r="K251" s="33" t="n"/>
      <c r="L251" s="33" t="n"/>
      <c r="M251" s="35">
        <f>IF(H251="","",IFERROR(INDEX(Parceiros!$E$5:$E$54,MATCH(H251,Parceiros!$A$5:$A$54,0)),0))</f>
        <v/>
      </c>
      <c r="N251" s="36">
        <f>IF(OR(H251="",I251="",K251="Cancelado"),0,I251*N(M251))</f>
        <v/>
      </c>
      <c r="O251" s="37">
        <f>IF(ISNUMBER(A251),MONTH(A251),"")</f>
        <v/>
      </c>
      <c r="P251" s="37">
        <f>IF(ISNUMBER(A251),YEAR(A251),"")</f>
        <v/>
      </c>
    </row>
    <row r="252">
      <c r="A252" s="32" t="n"/>
      <c r="B252" s="33" t="n"/>
      <c r="C252" s="33" t="n"/>
      <c r="D252" s="33" t="n"/>
      <c r="E252" s="33" t="n"/>
      <c r="F252" s="33" t="n"/>
      <c r="G252" s="33" t="n"/>
      <c r="H252" s="33" t="n"/>
      <c r="I252" s="34" t="n"/>
      <c r="J252" s="33" t="n"/>
      <c r="K252" s="33" t="n"/>
      <c r="L252" s="33" t="n"/>
      <c r="M252" s="35">
        <f>IF(H252="","",IFERROR(INDEX(Parceiros!$E$5:$E$54,MATCH(H252,Parceiros!$A$5:$A$54,0)),0))</f>
        <v/>
      </c>
      <c r="N252" s="36">
        <f>IF(OR(H252="",I252="",K252="Cancelado"),0,I252*N(M252))</f>
        <v/>
      </c>
      <c r="O252" s="37">
        <f>IF(ISNUMBER(A252),MONTH(A252),"")</f>
        <v/>
      </c>
      <c r="P252" s="37">
        <f>IF(ISNUMBER(A252),YEAR(A252),"")</f>
        <v/>
      </c>
    </row>
    <row r="253">
      <c r="A253" s="32" t="n"/>
      <c r="B253" s="33" t="n"/>
      <c r="C253" s="33" t="n"/>
      <c r="D253" s="33" t="n"/>
      <c r="E253" s="33" t="n"/>
      <c r="F253" s="33" t="n"/>
      <c r="G253" s="33" t="n"/>
      <c r="H253" s="33" t="n"/>
      <c r="I253" s="34" t="n"/>
      <c r="J253" s="33" t="n"/>
      <c r="K253" s="33" t="n"/>
      <c r="L253" s="33" t="n"/>
      <c r="M253" s="35">
        <f>IF(H253="","",IFERROR(INDEX(Parceiros!$E$5:$E$54,MATCH(H253,Parceiros!$A$5:$A$54,0)),0))</f>
        <v/>
      </c>
      <c r="N253" s="36">
        <f>IF(OR(H253="",I253="",K253="Cancelado"),0,I253*N(M253))</f>
        <v/>
      </c>
      <c r="O253" s="37">
        <f>IF(ISNUMBER(A253),MONTH(A253),"")</f>
        <v/>
      </c>
      <c r="P253" s="37">
        <f>IF(ISNUMBER(A253),YEAR(A253),"")</f>
        <v/>
      </c>
    </row>
    <row r="254">
      <c r="A254" s="32" t="n"/>
      <c r="B254" s="33" t="n"/>
      <c r="C254" s="33" t="n"/>
      <c r="D254" s="33" t="n"/>
      <c r="E254" s="33" t="n"/>
      <c r="F254" s="33" t="n"/>
      <c r="G254" s="33" t="n"/>
      <c r="H254" s="33" t="n"/>
      <c r="I254" s="34" t="n"/>
      <c r="J254" s="33" t="n"/>
      <c r="K254" s="33" t="n"/>
      <c r="L254" s="33" t="n"/>
      <c r="M254" s="35">
        <f>IF(H254="","",IFERROR(INDEX(Parceiros!$E$5:$E$54,MATCH(H254,Parceiros!$A$5:$A$54,0)),0))</f>
        <v/>
      </c>
      <c r="N254" s="36">
        <f>IF(OR(H254="",I254="",K254="Cancelado"),0,I254*N(M254))</f>
        <v/>
      </c>
      <c r="O254" s="37">
        <f>IF(ISNUMBER(A254),MONTH(A254),"")</f>
        <v/>
      </c>
      <c r="P254" s="37">
        <f>IF(ISNUMBER(A254),YEAR(A254),"")</f>
        <v/>
      </c>
    </row>
    <row r="255">
      <c r="A255" s="32" t="n"/>
      <c r="B255" s="33" t="n"/>
      <c r="C255" s="33" t="n"/>
      <c r="D255" s="33" t="n"/>
      <c r="E255" s="33" t="n"/>
      <c r="F255" s="33" t="n"/>
      <c r="G255" s="33" t="n"/>
      <c r="H255" s="33" t="n"/>
      <c r="I255" s="34" t="n"/>
      <c r="J255" s="33" t="n"/>
      <c r="K255" s="33" t="n"/>
      <c r="L255" s="33" t="n"/>
      <c r="M255" s="35">
        <f>IF(H255="","",IFERROR(INDEX(Parceiros!$E$5:$E$54,MATCH(H255,Parceiros!$A$5:$A$54,0)),0))</f>
        <v/>
      </c>
      <c r="N255" s="36">
        <f>IF(OR(H255="",I255="",K255="Cancelado"),0,I255*N(M255))</f>
        <v/>
      </c>
      <c r="O255" s="37">
        <f>IF(ISNUMBER(A255),MONTH(A255),"")</f>
        <v/>
      </c>
      <c r="P255" s="37">
        <f>IF(ISNUMBER(A255),YEAR(A255),"")</f>
        <v/>
      </c>
    </row>
    <row r="256">
      <c r="A256" s="32" t="n"/>
      <c r="B256" s="33" t="n"/>
      <c r="C256" s="33" t="n"/>
      <c r="D256" s="33" t="n"/>
      <c r="E256" s="33" t="n"/>
      <c r="F256" s="33" t="n"/>
      <c r="G256" s="33" t="n"/>
      <c r="H256" s="33" t="n"/>
      <c r="I256" s="34" t="n"/>
      <c r="J256" s="33" t="n"/>
      <c r="K256" s="33" t="n"/>
      <c r="L256" s="33" t="n"/>
      <c r="M256" s="35">
        <f>IF(H256="","",IFERROR(INDEX(Parceiros!$E$5:$E$54,MATCH(H256,Parceiros!$A$5:$A$54,0)),0))</f>
        <v/>
      </c>
      <c r="N256" s="36">
        <f>IF(OR(H256="",I256="",K256="Cancelado"),0,I256*N(M256))</f>
        <v/>
      </c>
      <c r="O256" s="37">
        <f>IF(ISNUMBER(A256),MONTH(A256),"")</f>
        <v/>
      </c>
      <c r="P256" s="37">
        <f>IF(ISNUMBER(A256),YEAR(A256),"")</f>
        <v/>
      </c>
    </row>
    <row r="257">
      <c r="A257" s="32" t="n"/>
      <c r="B257" s="33" t="n"/>
      <c r="C257" s="33" t="n"/>
      <c r="D257" s="33" t="n"/>
      <c r="E257" s="33" t="n"/>
      <c r="F257" s="33" t="n"/>
      <c r="G257" s="33" t="n"/>
      <c r="H257" s="33" t="n"/>
      <c r="I257" s="34" t="n"/>
      <c r="J257" s="33" t="n"/>
      <c r="K257" s="33" t="n"/>
      <c r="L257" s="33" t="n"/>
      <c r="M257" s="35">
        <f>IF(H257="","",IFERROR(INDEX(Parceiros!$E$5:$E$54,MATCH(H257,Parceiros!$A$5:$A$54,0)),0))</f>
        <v/>
      </c>
      <c r="N257" s="36">
        <f>IF(OR(H257="",I257="",K257="Cancelado"),0,I257*N(M257))</f>
        <v/>
      </c>
      <c r="O257" s="37">
        <f>IF(ISNUMBER(A257),MONTH(A257),"")</f>
        <v/>
      </c>
      <c r="P257" s="37">
        <f>IF(ISNUMBER(A257),YEAR(A257),"")</f>
        <v/>
      </c>
    </row>
    <row r="258">
      <c r="A258" s="32" t="n"/>
      <c r="B258" s="33" t="n"/>
      <c r="C258" s="33" t="n"/>
      <c r="D258" s="33" t="n"/>
      <c r="E258" s="33" t="n"/>
      <c r="F258" s="33" t="n"/>
      <c r="G258" s="33" t="n"/>
      <c r="H258" s="33" t="n"/>
      <c r="I258" s="34" t="n"/>
      <c r="J258" s="33" t="n"/>
      <c r="K258" s="33" t="n"/>
      <c r="L258" s="33" t="n"/>
      <c r="M258" s="35">
        <f>IF(H258="","",IFERROR(INDEX(Parceiros!$E$5:$E$54,MATCH(H258,Parceiros!$A$5:$A$54,0)),0))</f>
        <v/>
      </c>
      <c r="N258" s="36">
        <f>IF(OR(H258="",I258="",K258="Cancelado"),0,I258*N(M258))</f>
        <v/>
      </c>
      <c r="O258" s="37">
        <f>IF(ISNUMBER(A258),MONTH(A258),"")</f>
        <v/>
      </c>
      <c r="P258" s="37">
        <f>IF(ISNUMBER(A258),YEAR(A258),"")</f>
        <v/>
      </c>
    </row>
    <row r="259">
      <c r="A259" s="32" t="n"/>
      <c r="B259" s="33" t="n"/>
      <c r="C259" s="33" t="n"/>
      <c r="D259" s="33" t="n"/>
      <c r="E259" s="33" t="n"/>
      <c r="F259" s="33" t="n"/>
      <c r="G259" s="33" t="n"/>
      <c r="H259" s="33" t="n"/>
      <c r="I259" s="34" t="n"/>
      <c r="J259" s="33" t="n"/>
      <c r="K259" s="33" t="n"/>
      <c r="L259" s="33" t="n"/>
      <c r="M259" s="35">
        <f>IF(H259="","",IFERROR(INDEX(Parceiros!$E$5:$E$54,MATCH(H259,Parceiros!$A$5:$A$54,0)),0))</f>
        <v/>
      </c>
      <c r="N259" s="36">
        <f>IF(OR(H259="",I259="",K259="Cancelado"),0,I259*N(M259))</f>
        <v/>
      </c>
      <c r="O259" s="37">
        <f>IF(ISNUMBER(A259),MONTH(A259),"")</f>
        <v/>
      </c>
      <c r="P259" s="37">
        <f>IF(ISNUMBER(A259),YEAR(A259),"")</f>
        <v/>
      </c>
    </row>
    <row r="260">
      <c r="A260" s="32" t="n"/>
      <c r="B260" s="33" t="n"/>
      <c r="C260" s="33" t="n"/>
      <c r="D260" s="33" t="n"/>
      <c r="E260" s="33" t="n"/>
      <c r="F260" s="33" t="n"/>
      <c r="G260" s="33" t="n"/>
      <c r="H260" s="33" t="n"/>
      <c r="I260" s="34" t="n"/>
      <c r="J260" s="33" t="n"/>
      <c r="K260" s="33" t="n"/>
      <c r="L260" s="33" t="n"/>
      <c r="M260" s="35">
        <f>IF(H260="","",IFERROR(INDEX(Parceiros!$E$5:$E$54,MATCH(H260,Parceiros!$A$5:$A$54,0)),0))</f>
        <v/>
      </c>
      <c r="N260" s="36">
        <f>IF(OR(H260="",I260="",K260="Cancelado"),0,I260*N(M260))</f>
        <v/>
      </c>
      <c r="O260" s="37">
        <f>IF(ISNUMBER(A260),MONTH(A260),"")</f>
        <v/>
      </c>
      <c r="P260" s="37">
        <f>IF(ISNUMBER(A260),YEAR(A260),"")</f>
        <v/>
      </c>
    </row>
    <row r="261">
      <c r="A261" s="32" t="n"/>
      <c r="B261" s="33" t="n"/>
      <c r="C261" s="33" t="n"/>
      <c r="D261" s="33" t="n"/>
      <c r="E261" s="33" t="n"/>
      <c r="F261" s="33" t="n"/>
      <c r="G261" s="33" t="n"/>
      <c r="H261" s="33" t="n"/>
      <c r="I261" s="34" t="n"/>
      <c r="J261" s="33" t="n"/>
      <c r="K261" s="33" t="n"/>
      <c r="L261" s="33" t="n"/>
      <c r="M261" s="35">
        <f>IF(H261="","",IFERROR(INDEX(Parceiros!$E$5:$E$54,MATCH(H261,Parceiros!$A$5:$A$54,0)),0))</f>
        <v/>
      </c>
      <c r="N261" s="36">
        <f>IF(OR(H261="",I261="",K261="Cancelado"),0,I261*N(M261))</f>
        <v/>
      </c>
      <c r="O261" s="37">
        <f>IF(ISNUMBER(A261),MONTH(A261),"")</f>
        <v/>
      </c>
      <c r="P261" s="37">
        <f>IF(ISNUMBER(A261),YEAR(A261),"")</f>
        <v/>
      </c>
    </row>
    <row r="262">
      <c r="A262" s="32" t="n"/>
      <c r="B262" s="33" t="n"/>
      <c r="C262" s="33" t="n"/>
      <c r="D262" s="33" t="n"/>
      <c r="E262" s="33" t="n"/>
      <c r="F262" s="33" t="n"/>
      <c r="G262" s="33" t="n"/>
      <c r="H262" s="33" t="n"/>
      <c r="I262" s="34" t="n"/>
      <c r="J262" s="33" t="n"/>
      <c r="K262" s="33" t="n"/>
      <c r="L262" s="33" t="n"/>
      <c r="M262" s="35">
        <f>IF(H262="","",IFERROR(INDEX(Parceiros!$E$5:$E$54,MATCH(H262,Parceiros!$A$5:$A$54,0)),0))</f>
        <v/>
      </c>
      <c r="N262" s="36">
        <f>IF(OR(H262="",I262="",K262="Cancelado"),0,I262*N(M262))</f>
        <v/>
      </c>
      <c r="O262" s="37">
        <f>IF(ISNUMBER(A262),MONTH(A262),"")</f>
        <v/>
      </c>
      <c r="P262" s="37">
        <f>IF(ISNUMBER(A262),YEAR(A262),"")</f>
        <v/>
      </c>
    </row>
    <row r="263">
      <c r="A263" s="32" t="n"/>
      <c r="B263" s="33" t="n"/>
      <c r="C263" s="33" t="n"/>
      <c r="D263" s="33" t="n"/>
      <c r="E263" s="33" t="n"/>
      <c r="F263" s="33" t="n"/>
      <c r="G263" s="33" t="n"/>
      <c r="H263" s="33" t="n"/>
      <c r="I263" s="34" t="n"/>
      <c r="J263" s="33" t="n"/>
      <c r="K263" s="33" t="n"/>
      <c r="L263" s="33" t="n"/>
      <c r="M263" s="35">
        <f>IF(H263="","",IFERROR(INDEX(Parceiros!$E$5:$E$54,MATCH(H263,Parceiros!$A$5:$A$54,0)),0))</f>
        <v/>
      </c>
      <c r="N263" s="36">
        <f>IF(OR(H263="",I263="",K263="Cancelado"),0,I263*N(M263))</f>
        <v/>
      </c>
      <c r="O263" s="37">
        <f>IF(ISNUMBER(A263),MONTH(A263),"")</f>
        <v/>
      </c>
      <c r="P263" s="37">
        <f>IF(ISNUMBER(A263),YEAR(A263),"")</f>
        <v/>
      </c>
    </row>
    <row r="264">
      <c r="A264" s="32" t="n"/>
      <c r="B264" s="33" t="n"/>
      <c r="C264" s="33" t="n"/>
      <c r="D264" s="33" t="n"/>
      <c r="E264" s="33" t="n"/>
      <c r="F264" s="33" t="n"/>
      <c r="G264" s="33" t="n"/>
      <c r="H264" s="33" t="n"/>
      <c r="I264" s="34" t="n"/>
      <c r="J264" s="33" t="n"/>
      <c r="K264" s="33" t="n"/>
      <c r="L264" s="33" t="n"/>
      <c r="M264" s="35">
        <f>IF(H264="","",IFERROR(INDEX(Parceiros!$E$5:$E$54,MATCH(H264,Parceiros!$A$5:$A$54,0)),0))</f>
        <v/>
      </c>
      <c r="N264" s="36">
        <f>IF(OR(H264="",I264="",K264="Cancelado"),0,I264*N(M264))</f>
        <v/>
      </c>
      <c r="O264" s="37">
        <f>IF(ISNUMBER(A264),MONTH(A264),"")</f>
        <v/>
      </c>
      <c r="P264" s="37">
        <f>IF(ISNUMBER(A264),YEAR(A264),"")</f>
        <v/>
      </c>
    </row>
    <row r="265">
      <c r="A265" s="32" t="n"/>
      <c r="B265" s="33" t="n"/>
      <c r="C265" s="33" t="n"/>
      <c r="D265" s="33" t="n"/>
      <c r="E265" s="33" t="n"/>
      <c r="F265" s="33" t="n"/>
      <c r="G265" s="33" t="n"/>
      <c r="H265" s="33" t="n"/>
      <c r="I265" s="34" t="n"/>
      <c r="J265" s="33" t="n"/>
      <c r="K265" s="33" t="n"/>
      <c r="L265" s="33" t="n"/>
      <c r="M265" s="35">
        <f>IF(H265="","",IFERROR(INDEX(Parceiros!$E$5:$E$54,MATCH(H265,Parceiros!$A$5:$A$54,0)),0))</f>
        <v/>
      </c>
      <c r="N265" s="36">
        <f>IF(OR(H265="",I265="",K265="Cancelado"),0,I265*N(M265))</f>
        <v/>
      </c>
      <c r="O265" s="37">
        <f>IF(ISNUMBER(A265),MONTH(A265),"")</f>
        <v/>
      </c>
      <c r="P265" s="37">
        <f>IF(ISNUMBER(A265),YEAR(A265),"")</f>
        <v/>
      </c>
    </row>
    <row r="266">
      <c r="A266" s="32" t="n"/>
      <c r="B266" s="33" t="n"/>
      <c r="C266" s="33" t="n"/>
      <c r="D266" s="33" t="n"/>
      <c r="E266" s="33" t="n"/>
      <c r="F266" s="33" t="n"/>
      <c r="G266" s="33" t="n"/>
      <c r="H266" s="33" t="n"/>
      <c r="I266" s="34" t="n"/>
      <c r="J266" s="33" t="n"/>
      <c r="K266" s="33" t="n"/>
      <c r="L266" s="33" t="n"/>
      <c r="M266" s="35">
        <f>IF(H266="","",IFERROR(INDEX(Parceiros!$E$5:$E$54,MATCH(H266,Parceiros!$A$5:$A$54,0)),0))</f>
        <v/>
      </c>
      <c r="N266" s="36">
        <f>IF(OR(H266="",I266="",K266="Cancelado"),0,I266*N(M266))</f>
        <v/>
      </c>
      <c r="O266" s="37">
        <f>IF(ISNUMBER(A266),MONTH(A266),"")</f>
        <v/>
      </c>
      <c r="P266" s="37">
        <f>IF(ISNUMBER(A266),YEAR(A266),"")</f>
        <v/>
      </c>
    </row>
    <row r="267">
      <c r="A267" s="32" t="n"/>
      <c r="B267" s="33" t="n"/>
      <c r="C267" s="33" t="n"/>
      <c r="D267" s="33" t="n"/>
      <c r="E267" s="33" t="n"/>
      <c r="F267" s="33" t="n"/>
      <c r="G267" s="33" t="n"/>
      <c r="H267" s="33" t="n"/>
      <c r="I267" s="34" t="n"/>
      <c r="J267" s="33" t="n"/>
      <c r="K267" s="33" t="n"/>
      <c r="L267" s="33" t="n"/>
      <c r="M267" s="35">
        <f>IF(H267="","",IFERROR(INDEX(Parceiros!$E$5:$E$54,MATCH(H267,Parceiros!$A$5:$A$54,0)),0))</f>
        <v/>
      </c>
      <c r="N267" s="36">
        <f>IF(OR(H267="",I267="",K267="Cancelado"),0,I267*N(M267))</f>
        <v/>
      </c>
      <c r="O267" s="37">
        <f>IF(ISNUMBER(A267),MONTH(A267),"")</f>
        <v/>
      </c>
      <c r="P267" s="37">
        <f>IF(ISNUMBER(A267),YEAR(A267),"")</f>
        <v/>
      </c>
    </row>
    <row r="268">
      <c r="A268" s="32" t="n"/>
      <c r="B268" s="33" t="n"/>
      <c r="C268" s="33" t="n"/>
      <c r="D268" s="33" t="n"/>
      <c r="E268" s="33" t="n"/>
      <c r="F268" s="33" t="n"/>
      <c r="G268" s="33" t="n"/>
      <c r="H268" s="33" t="n"/>
      <c r="I268" s="34" t="n"/>
      <c r="J268" s="33" t="n"/>
      <c r="K268" s="33" t="n"/>
      <c r="L268" s="33" t="n"/>
      <c r="M268" s="35">
        <f>IF(H268="","",IFERROR(INDEX(Parceiros!$E$5:$E$54,MATCH(H268,Parceiros!$A$5:$A$54,0)),0))</f>
        <v/>
      </c>
      <c r="N268" s="36">
        <f>IF(OR(H268="",I268="",K268="Cancelado"),0,I268*N(M268))</f>
        <v/>
      </c>
      <c r="O268" s="37">
        <f>IF(ISNUMBER(A268),MONTH(A268),"")</f>
        <v/>
      </c>
      <c r="P268" s="37">
        <f>IF(ISNUMBER(A268),YEAR(A268),"")</f>
        <v/>
      </c>
    </row>
    <row r="269">
      <c r="A269" s="32" t="n"/>
      <c r="B269" s="33" t="n"/>
      <c r="C269" s="33" t="n"/>
      <c r="D269" s="33" t="n"/>
      <c r="E269" s="33" t="n"/>
      <c r="F269" s="33" t="n"/>
      <c r="G269" s="33" t="n"/>
      <c r="H269" s="33" t="n"/>
      <c r="I269" s="34" t="n"/>
      <c r="J269" s="33" t="n"/>
      <c r="K269" s="33" t="n"/>
      <c r="L269" s="33" t="n"/>
      <c r="M269" s="35">
        <f>IF(H269="","",IFERROR(INDEX(Parceiros!$E$5:$E$54,MATCH(H269,Parceiros!$A$5:$A$54,0)),0))</f>
        <v/>
      </c>
      <c r="N269" s="36">
        <f>IF(OR(H269="",I269="",K269="Cancelado"),0,I269*N(M269))</f>
        <v/>
      </c>
      <c r="O269" s="37">
        <f>IF(ISNUMBER(A269),MONTH(A269),"")</f>
        <v/>
      </c>
      <c r="P269" s="37">
        <f>IF(ISNUMBER(A269),YEAR(A269),"")</f>
        <v/>
      </c>
    </row>
    <row r="270">
      <c r="A270" s="32" t="n"/>
      <c r="B270" s="33" t="n"/>
      <c r="C270" s="33" t="n"/>
      <c r="D270" s="33" t="n"/>
      <c r="E270" s="33" t="n"/>
      <c r="F270" s="33" t="n"/>
      <c r="G270" s="33" t="n"/>
      <c r="H270" s="33" t="n"/>
      <c r="I270" s="34" t="n"/>
      <c r="J270" s="33" t="n"/>
      <c r="K270" s="33" t="n"/>
      <c r="L270" s="33" t="n"/>
      <c r="M270" s="35">
        <f>IF(H270="","",IFERROR(INDEX(Parceiros!$E$5:$E$54,MATCH(H270,Parceiros!$A$5:$A$54,0)),0))</f>
        <v/>
      </c>
      <c r="N270" s="36">
        <f>IF(OR(H270="",I270="",K270="Cancelado"),0,I270*N(M270))</f>
        <v/>
      </c>
      <c r="O270" s="37">
        <f>IF(ISNUMBER(A270),MONTH(A270),"")</f>
        <v/>
      </c>
      <c r="P270" s="37">
        <f>IF(ISNUMBER(A270),YEAR(A270),"")</f>
        <v/>
      </c>
    </row>
    <row r="271">
      <c r="A271" s="32" t="n"/>
      <c r="B271" s="33" t="n"/>
      <c r="C271" s="33" t="n"/>
      <c r="D271" s="33" t="n"/>
      <c r="E271" s="33" t="n"/>
      <c r="F271" s="33" t="n"/>
      <c r="G271" s="33" t="n"/>
      <c r="H271" s="33" t="n"/>
      <c r="I271" s="34" t="n"/>
      <c r="J271" s="33" t="n"/>
      <c r="K271" s="33" t="n"/>
      <c r="L271" s="33" t="n"/>
      <c r="M271" s="35">
        <f>IF(H271="","",IFERROR(INDEX(Parceiros!$E$5:$E$54,MATCH(H271,Parceiros!$A$5:$A$54,0)),0))</f>
        <v/>
      </c>
      <c r="N271" s="36">
        <f>IF(OR(H271="",I271="",K271="Cancelado"),0,I271*N(M271))</f>
        <v/>
      </c>
      <c r="O271" s="37">
        <f>IF(ISNUMBER(A271),MONTH(A271),"")</f>
        <v/>
      </c>
      <c r="P271" s="37">
        <f>IF(ISNUMBER(A271),YEAR(A271),"")</f>
        <v/>
      </c>
    </row>
    <row r="272">
      <c r="A272" s="32" t="n"/>
      <c r="B272" s="33" t="n"/>
      <c r="C272" s="33" t="n"/>
      <c r="D272" s="33" t="n"/>
      <c r="E272" s="33" t="n"/>
      <c r="F272" s="33" t="n"/>
      <c r="G272" s="33" t="n"/>
      <c r="H272" s="33" t="n"/>
      <c r="I272" s="34" t="n"/>
      <c r="J272" s="33" t="n"/>
      <c r="K272" s="33" t="n"/>
      <c r="L272" s="33" t="n"/>
      <c r="M272" s="35">
        <f>IF(H272="","",IFERROR(INDEX(Parceiros!$E$5:$E$54,MATCH(H272,Parceiros!$A$5:$A$54,0)),0))</f>
        <v/>
      </c>
      <c r="N272" s="36">
        <f>IF(OR(H272="",I272="",K272="Cancelado"),0,I272*N(M272))</f>
        <v/>
      </c>
      <c r="O272" s="37">
        <f>IF(ISNUMBER(A272),MONTH(A272),"")</f>
        <v/>
      </c>
      <c r="P272" s="37">
        <f>IF(ISNUMBER(A272),YEAR(A272),"")</f>
        <v/>
      </c>
    </row>
    <row r="273">
      <c r="A273" s="32" t="n"/>
      <c r="B273" s="33" t="n"/>
      <c r="C273" s="33" t="n"/>
      <c r="D273" s="33" t="n"/>
      <c r="E273" s="33" t="n"/>
      <c r="F273" s="33" t="n"/>
      <c r="G273" s="33" t="n"/>
      <c r="H273" s="33" t="n"/>
      <c r="I273" s="34" t="n"/>
      <c r="J273" s="33" t="n"/>
      <c r="K273" s="33" t="n"/>
      <c r="L273" s="33" t="n"/>
      <c r="M273" s="35">
        <f>IF(H273="","",IFERROR(INDEX(Parceiros!$E$5:$E$54,MATCH(H273,Parceiros!$A$5:$A$54,0)),0))</f>
        <v/>
      </c>
      <c r="N273" s="36">
        <f>IF(OR(H273="",I273="",K273="Cancelado"),0,I273*N(M273))</f>
        <v/>
      </c>
      <c r="O273" s="37">
        <f>IF(ISNUMBER(A273),MONTH(A273),"")</f>
        <v/>
      </c>
      <c r="P273" s="37">
        <f>IF(ISNUMBER(A273),YEAR(A273),"")</f>
        <v/>
      </c>
    </row>
    <row r="274">
      <c r="A274" s="32" t="n"/>
      <c r="B274" s="33" t="n"/>
      <c r="C274" s="33" t="n"/>
      <c r="D274" s="33" t="n"/>
      <c r="E274" s="33" t="n"/>
      <c r="F274" s="33" t="n"/>
      <c r="G274" s="33" t="n"/>
      <c r="H274" s="33" t="n"/>
      <c r="I274" s="34" t="n"/>
      <c r="J274" s="33" t="n"/>
      <c r="K274" s="33" t="n"/>
      <c r="L274" s="33" t="n"/>
      <c r="M274" s="35">
        <f>IF(H274="","",IFERROR(INDEX(Parceiros!$E$5:$E$54,MATCH(H274,Parceiros!$A$5:$A$54,0)),0))</f>
        <v/>
      </c>
      <c r="N274" s="36">
        <f>IF(OR(H274="",I274="",K274="Cancelado"),0,I274*N(M274))</f>
        <v/>
      </c>
      <c r="O274" s="37">
        <f>IF(ISNUMBER(A274),MONTH(A274),"")</f>
        <v/>
      </c>
      <c r="P274" s="37">
        <f>IF(ISNUMBER(A274),YEAR(A274),"")</f>
        <v/>
      </c>
    </row>
    <row r="275">
      <c r="A275" s="32" t="n"/>
      <c r="B275" s="33" t="n"/>
      <c r="C275" s="33" t="n"/>
      <c r="D275" s="33" t="n"/>
      <c r="E275" s="33" t="n"/>
      <c r="F275" s="33" t="n"/>
      <c r="G275" s="33" t="n"/>
      <c r="H275" s="33" t="n"/>
      <c r="I275" s="34" t="n"/>
      <c r="J275" s="33" t="n"/>
      <c r="K275" s="33" t="n"/>
      <c r="L275" s="33" t="n"/>
      <c r="M275" s="35">
        <f>IF(H275="","",IFERROR(INDEX(Parceiros!$E$5:$E$54,MATCH(H275,Parceiros!$A$5:$A$54,0)),0))</f>
        <v/>
      </c>
      <c r="N275" s="36">
        <f>IF(OR(H275="",I275="",K275="Cancelado"),0,I275*N(M275))</f>
        <v/>
      </c>
      <c r="O275" s="37">
        <f>IF(ISNUMBER(A275),MONTH(A275),"")</f>
        <v/>
      </c>
      <c r="P275" s="37">
        <f>IF(ISNUMBER(A275),YEAR(A275),"")</f>
        <v/>
      </c>
    </row>
    <row r="276">
      <c r="A276" s="32" t="n"/>
      <c r="B276" s="33" t="n"/>
      <c r="C276" s="33" t="n"/>
      <c r="D276" s="33" t="n"/>
      <c r="E276" s="33" t="n"/>
      <c r="F276" s="33" t="n"/>
      <c r="G276" s="33" t="n"/>
      <c r="H276" s="33" t="n"/>
      <c r="I276" s="34" t="n"/>
      <c r="J276" s="33" t="n"/>
      <c r="K276" s="33" t="n"/>
      <c r="L276" s="33" t="n"/>
      <c r="M276" s="35">
        <f>IF(H276="","",IFERROR(INDEX(Parceiros!$E$5:$E$54,MATCH(H276,Parceiros!$A$5:$A$54,0)),0))</f>
        <v/>
      </c>
      <c r="N276" s="36">
        <f>IF(OR(H276="",I276="",K276="Cancelado"),0,I276*N(M276))</f>
        <v/>
      </c>
      <c r="O276" s="37">
        <f>IF(ISNUMBER(A276),MONTH(A276),"")</f>
        <v/>
      </c>
      <c r="P276" s="37">
        <f>IF(ISNUMBER(A276),YEAR(A276),"")</f>
        <v/>
      </c>
    </row>
    <row r="277">
      <c r="A277" s="32" t="n"/>
      <c r="B277" s="33" t="n"/>
      <c r="C277" s="33" t="n"/>
      <c r="D277" s="33" t="n"/>
      <c r="E277" s="33" t="n"/>
      <c r="F277" s="33" t="n"/>
      <c r="G277" s="33" t="n"/>
      <c r="H277" s="33" t="n"/>
      <c r="I277" s="34" t="n"/>
      <c r="J277" s="33" t="n"/>
      <c r="K277" s="33" t="n"/>
      <c r="L277" s="33" t="n"/>
      <c r="M277" s="35">
        <f>IF(H277="","",IFERROR(INDEX(Parceiros!$E$5:$E$54,MATCH(H277,Parceiros!$A$5:$A$54,0)),0))</f>
        <v/>
      </c>
      <c r="N277" s="36">
        <f>IF(OR(H277="",I277="",K277="Cancelado"),0,I277*N(M277))</f>
        <v/>
      </c>
      <c r="O277" s="37">
        <f>IF(ISNUMBER(A277),MONTH(A277),"")</f>
        <v/>
      </c>
      <c r="P277" s="37">
        <f>IF(ISNUMBER(A277),YEAR(A277),"")</f>
        <v/>
      </c>
    </row>
    <row r="278">
      <c r="A278" s="32" t="n"/>
      <c r="B278" s="33" t="n"/>
      <c r="C278" s="33" t="n"/>
      <c r="D278" s="33" t="n"/>
      <c r="E278" s="33" t="n"/>
      <c r="F278" s="33" t="n"/>
      <c r="G278" s="33" t="n"/>
      <c r="H278" s="33" t="n"/>
      <c r="I278" s="34" t="n"/>
      <c r="J278" s="33" t="n"/>
      <c r="K278" s="33" t="n"/>
      <c r="L278" s="33" t="n"/>
      <c r="M278" s="35">
        <f>IF(H278="","",IFERROR(INDEX(Parceiros!$E$5:$E$54,MATCH(H278,Parceiros!$A$5:$A$54,0)),0))</f>
        <v/>
      </c>
      <c r="N278" s="36">
        <f>IF(OR(H278="",I278="",K278="Cancelado"),0,I278*N(M278))</f>
        <v/>
      </c>
      <c r="O278" s="37">
        <f>IF(ISNUMBER(A278),MONTH(A278),"")</f>
        <v/>
      </c>
      <c r="P278" s="37">
        <f>IF(ISNUMBER(A278),YEAR(A278),"")</f>
        <v/>
      </c>
    </row>
    <row r="279">
      <c r="A279" s="32" t="n"/>
      <c r="B279" s="33" t="n"/>
      <c r="C279" s="33" t="n"/>
      <c r="D279" s="33" t="n"/>
      <c r="E279" s="33" t="n"/>
      <c r="F279" s="33" t="n"/>
      <c r="G279" s="33" t="n"/>
      <c r="H279" s="33" t="n"/>
      <c r="I279" s="34" t="n"/>
      <c r="J279" s="33" t="n"/>
      <c r="K279" s="33" t="n"/>
      <c r="L279" s="33" t="n"/>
      <c r="M279" s="35">
        <f>IF(H279="","",IFERROR(INDEX(Parceiros!$E$5:$E$54,MATCH(H279,Parceiros!$A$5:$A$54,0)),0))</f>
        <v/>
      </c>
      <c r="N279" s="36">
        <f>IF(OR(H279="",I279="",K279="Cancelado"),0,I279*N(M279))</f>
        <v/>
      </c>
      <c r="O279" s="37">
        <f>IF(ISNUMBER(A279),MONTH(A279),"")</f>
        <v/>
      </c>
      <c r="P279" s="37">
        <f>IF(ISNUMBER(A279),YEAR(A279),"")</f>
        <v/>
      </c>
    </row>
    <row r="280">
      <c r="A280" s="32" t="n"/>
      <c r="B280" s="33" t="n"/>
      <c r="C280" s="33" t="n"/>
      <c r="D280" s="33" t="n"/>
      <c r="E280" s="33" t="n"/>
      <c r="F280" s="33" t="n"/>
      <c r="G280" s="33" t="n"/>
      <c r="H280" s="33" t="n"/>
      <c r="I280" s="34" t="n"/>
      <c r="J280" s="33" t="n"/>
      <c r="K280" s="33" t="n"/>
      <c r="L280" s="33" t="n"/>
      <c r="M280" s="35">
        <f>IF(H280="","",IFERROR(INDEX(Parceiros!$E$5:$E$54,MATCH(H280,Parceiros!$A$5:$A$54,0)),0))</f>
        <v/>
      </c>
      <c r="N280" s="36">
        <f>IF(OR(H280="",I280="",K280="Cancelado"),0,I280*N(M280))</f>
        <v/>
      </c>
      <c r="O280" s="37">
        <f>IF(ISNUMBER(A280),MONTH(A280),"")</f>
        <v/>
      </c>
      <c r="P280" s="37">
        <f>IF(ISNUMBER(A280),YEAR(A280),"")</f>
        <v/>
      </c>
    </row>
    <row r="281">
      <c r="A281" s="32" t="n"/>
      <c r="B281" s="33" t="n"/>
      <c r="C281" s="33" t="n"/>
      <c r="D281" s="33" t="n"/>
      <c r="E281" s="33" t="n"/>
      <c r="F281" s="33" t="n"/>
      <c r="G281" s="33" t="n"/>
      <c r="H281" s="33" t="n"/>
      <c r="I281" s="34" t="n"/>
      <c r="J281" s="33" t="n"/>
      <c r="K281" s="33" t="n"/>
      <c r="L281" s="33" t="n"/>
      <c r="M281" s="35">
        <f>IF(H281="","",IFERROR(INDEX(Parceiros!$E$5:$E$54,MATCH(H281,Parceiros!$A$5:$A$54,0)),0))</f>
        <v/>
      </c>
      <c r="N281" s="36">
        <f>IF(OR(H281="",I281="",K281="Cancelado"),0,I281*N(M281))</f>
        <v/>
      </c>
      <c r="O281" s="37">
        <f>IF(ISNUMBER(A281),MONTH(A281),"")</f>
        <v/>
      </c>
      <c r="P281" s="37">
        <f>IF(ISNUMBER(A281),YEAR(A281),"")</f>
        <v/>
      </c>
    </row>
    <row r="282">
      <c r="A282" s="32" t="n"/>
      <c r="B282" s="33" t="n"/>
      <c r="C282" s="33" t="n"/>
      <c r="D282" s="33" t="n"/>
      <c r="E282" s="33" t="n"/>
      <c r="F282" s="33" t="n"/>
      <c r="G282" s="33" t="n"/>
      <c r="H282" s="33" t="n"/>
      <c r="I282" s="34" t="n"/>
      <c r="J282" s="33" t="n"/>
      <c r="K282" s="33" t="n"/>
      <c r="L282" s="33" t="n"/>
      <c r="M282" s="35">
        <f>IF(H282="","",IFERROR(INDEX(Parceiros!$E$5:$E$54,MATCH(H282,Parceiros!$A$5:$A$54,0)),0))</f>
        <v/>
      </c>
      <c r="N282" s="36">
        <f>IF(OR(H282="",I282="",K282="Cancelado"),0,I282*N(M282))</f>
        <v/>
      </c>
      <c r="O282" s="37">
        <f>IF(ISNUMBER(A282),MONTH(A282),"")</f>
        <v/>
      </c>
      <c r="P282" s="37">
        <f>IF(ISNUMBER(A282),YEAR(A282),"")</f>
        <v/>
      </c>
    </row>
    <row r="283">
      <c r="A283" s="32" t="n"/>
      <c r="B283" s="33" t="n"/>
      <c r="C283" s="33" t="n"/>
      <c r="D283" s="33" t="n"/>
      <c r="E283" s="33" t="n"/>
      <c r="F283" s="33" t="n"/>
      <c r="G283" s="33" t="n"/>
      <c r="H283" s="33" t="n"/>
      <c r="I283" s="34" t="n"/>
      <c r="J283" s="33" t="n"/>
      <c r="K283" s="33" t="n"/>
      <c r="L283" s="33" t="n"/>
      <c r="M283" s="35">
        <f>IF(H283="","",IFERROR(INDEX(Parceiros!$E$5:$E$54,MATCH(H283,Parceiros!$A$5:$A$54,0)),0))</f>
        <v/>
      </c>
      <c r="N283" s="36">
        <f>IF(OR(H283="",I283="",K283="Cancelado"),0,I283*N(M283))</f>
        <v/>
      </c>
      <c r="O283" s="37">
        <f>IF(ISNUMBER(A283),MONTH(A283),"")</f>
        <v/>
      </c>
      <c r="P283" s="37">
        <f>IF(ISNUMBER(A283),YEAR(A283),"")</f>
        <v/>
      </c>
    </row>
    <row r="284">
      <c r="A284" s="32" t="n"/>
      <c r="B284" s="33" t="n"/>
      <c r="C284" s="33" t="n"/>
      <c r="D284" s="33" t="n"/>
      <c r="E284" s="33" t="n"/>
      <c r="F284" s="33" t="n"/>
      <c r="G284" s="33" t="n"/>
      <c r="H284" s="33" t="n"/>
      <c r="I284" s="34" t="n"/>
      <c r="J284" s="33" t="n"/>
      <c r="K284" s="33" t="n"/>
      <c r="L284" s="33" t="n"/>
      <c r="M284" s="35">
        <f>IF(H284="","",IFERROR(INDEX(Parceiros!$E$5:$E$54,MATCH(H284,Parceiros!$A$5:$A$54,0)),0))</f>
        <v/>
      </c>
      <c r="N284" s="36">
        <f>IF(OR(H284="",I284="",K284="Cancelado"),0,I284*N(M284))</f>
        <v/>
      </c>
      <c r="O284" s="37">
        <f>IF(ISNUMBER(A284),MONTH(A284),"")</f>
        <v/>
      </c>
      <c r="P284" s="37">
        <f>IF(ISNUMBER(A284),YEAR(A284),"")</f>
        <v/>
      </c>
    </row>
    <row r="285">
      <c r="A285" s="32" t="n"/>
      <c r="B285" s="33" t="n"/>
      <c r="C285" s="33" t="n"/>
      <c r="D285" s="33" t="n"/>
      <c r="E285" s="33" t="n"/>
      <c r="F285" s="33" t="n"/>
      <c r="G285" s="33" t="n"/>
      <c r="H285" s="33" t="n"/>
      <c r="I285" s="34" t="n"/>
      <c r="J285" s="33" t="n"/>
      <c r="K285" s="33" t="n"/>
      <c r="L285" s="33" t="n"/>
      <c r="M285" s="35">
        <f>IF(H285="","",IFERROR(INDEX(Parceiros!$E$5:$E$54,MATCH(H285,Parceiros!$A$5:$A$54,0)),0))</f>
        <v/>
      </c>
      <c r="N285" s="36">
        <f>IF(OR(H285="",I285="",K285="Cancelado"),0,I285*N(M285))</f>
        <v/>
      </c>
      <c r="O285" s="37">
        <f>IF(ISNUMBER(A285),MONTH(A285),"")</f>
        <v/>
      </c>
      <c r="P285" s="37">
        <f>IF(ISNUMBER(A285),YEAR(A285),"")</f>
        <v/>
      </c>
    </row>
    <row r="286">
      <c r="A286" s="32" t="n"/>
      <c r="B286" s="33" t="n"/>
      <c r="C286" s="33" t="n"/>
      <c r="D286" s="33" t="n"/>
      <c r="E286" s="33" t="n"/>
      <c r="F286" s="33" t="n"/>
      <c r="G286" s="33" t="n"/>
      <c r="H286" s="33" t="n"/>
      <c r="I286" s="34" t="n"/>
      <c r="J286" s="33" t="n"/>
      <c r="K286" s="33" t="n"/>
      <c r="L286" s="33" t="n"/>
      <c r="M286" s="35">
        <f>IF(H286="","",IFERROR(INDEX(Parceiros!$E$5:$E$54,MATCH(H286,Parceiros!$A$5:$A$54,0)),0))</f>
        <v/>
      </c>
      <c r="N286" s="36">
        <f>IF(OR(H286="",I286="",K286="Cancelado"),0,I286*N(M286))</f>
        <v/>
      </c>
      <c r="O286" s="37">
        <f>IF(ISNUMBER(A286),MONTH(A286),"")</f>
        <v/>
      </c>
      <c r="P286" s="37">
        <f>IF(ISNUMBER(A286),YEAR(A286),"")</f>
        <v/>
      </c>
    </row>
    <row r="287">
      <c r="A287" s="32" t="n"/>
      <c r="B287" s="33" t="n"/>
      <c r="C287" s="33" t="n"/>
      <c r="D287" s="33" t="n"/>
      <c r="E287" s="33" t="n"/>
      <c r="F287" s="33" t="n"/>
      <c r="G287" s="33" t="n"/>
      <c r="H287" s="33" t="n"/>
      <c r="I287" s="34" t="n"/>
      <c r="J287" s="33" t="n"/>
      <c r="K287" s="33" t="n"/>
      <c r="L287" s="33" t="n"/>
      <c r="M287" s="35">
        <f>IF(H287="","",IFERROR(INDEX(Parceiros!$E$5:$E$54,MATCH(H287,Parceiros!$A$5:$A$54,0)),0))</f>
        <v/>
      </c>
      <c r="N287" s="36">
        <f>IF(OR(H287="",I287="",K287="Cancelado"),0,I287*N(M287))</f>
        <v/>
      </c>
      <c r="O287" s="37">
        <f>IF(ISNUMBER(A287),MONTH(A287),"")</f>
        <v/>
      </c>
      <c r="P287" s="37">
        <f>IF(ISNUMBER(A287),YEAR(A287),"")</f>
        <v/>
      </c>
    </row>
    <row r="288">
      <c r="A288" s="32" t="n"/>
      <c r="B288" s="33" t="n"/>
      <c r="C288" s="33" t="n"/>
      <c r="D288" s="33" t="n"/>
      <c r="E288" s="33" t="n"/>
      <c r="F288" s="33" t="n"/>
      <c r="G288" s="33" t="n"/>
      <c r="H288" s="33" t="n"/>
      <c r="I288" s="34" t="n"/>
      <c r="J288" s="33" t="n"/>
      <c r="K288" s="33" t="n"/>
      <c r="L288" s="33" t="n"/>
      <c r="M288" s="35">
        <f>IF(H288="","",IFERROR(INDEX(Parceiros!$E$5:$E$54,MATCH(H288,Parceiros!$A$5:$A$54,0)),0))</f>
        <v/>
      </c>
      <c r="N288" s="36">
        <f>IF(OR(H288="",I288="",K288="Cancelado"),0,I288*N(M288))</f>
        <v/>
      </c>
      <c r="O288" s="37">
        <f>IF(ISNUMBER(A288),MONTH(A288),"")</f>
        <v/>
      </c>
      <c r="P288" s="37">
        <f>IF(ISNUMBER(A288),YEAR(A288),"")</f>
        <v/>
      </c>
    </row>
    <row r="289">
      <c r="A289" s="32" t="n"/>
      <c r="B289" s="33" t="n"/>
      <c r="C289" s="33" t="n"/>
      <c r="D289" s="33" t="n"/>
      <c r="E289" s="33" t="n"/>
      <c r="F289" s="33" t="n"/>
      <c r="G289" s="33" t="n"/>
      <c r="H289" s="33" t="n"/>
      <c r="I289" s="34" t="n"/>
      <c r="J289" s="33" t="n"/>
      <c r="K289" s="33" t="n"/>
      <c r="L289" s="33" t="n"/>
      <c r="M289" s="35">
        <f>IF(H289="","",IFERROR(INDEX(Parceiros!$E$5:$E$54,MATCH(H289,Parceiros!$A$5:$A$54,0)),0))</f>
        <v/>
      </c>
      <c r="N289" s="36">
        <f>IF(OR(H289="",I289="",K289="Cancelado"),0,I289*N(M289))</f>
        <v/>
      </c>
      <c r="O289" s="37">
        <f>IF(ISNUMBER(A289),MONTH(A289),"")</f>
        <v/>
      </c>
      <c r="P289" s="37">
        <f>IF(ISNUMBER(A289),YEAR(A289),"")</f>
        <v/>
      </c>
    </row>
    <row r="290">
      <c r="A290" s="32" t="n"/>
      <c r="B290" s="33" t="n"/>
      <c r="C290" s="33" t="n"/>
      <c r="D290" s="33" t="n"/>
      <c r="E290" s="33" t="n"/>
      <c r="F290" s="33" t="n"/>
      <c r="G290" s="33" t="n"/>
      <c r="H290" s="33" t="n"/>
      <c r="I290" s="34" t="n"/>
      <c r="J290" s="33" t="n"/>
      <c r="K290" s="33" t="n"/>
      <c r="L290" s="33" t="n"/>
      <c r="M290" s="35">
        <f>IF(H290="","",IFERROR(INDEX(Parceiros!$E$5:$E$54,MATCH(H290,Parceiros!$A$5:$A$54,0)),0))</f>
        <v/>
      </c>
      <c r="N290" s="36">
        <f>IF(OR(H290="",I290="",K290="Cancelado"),0,I290*N(M290))</f>
        <v/>
      </c>
      <c r="O290" s="37">
        <f>IF(ISNUMBER(A290),MONTH(A290),"")</f>
        <v/>
      </c>
      <c r="P290" s="37">
        <f>IF(ISNUMBER(A290),YEAR(A290),"")</f>
        <v/>
      </c>
    </row>
    <row r="291">
      <c r="A291" s="32" t="n"/>
      <c r="B291" s="33" t="n"/>
      <c r="C291" s="33" t="n"/>
      <c r="D291" s="33" t="n"/>
      <c r="E291" s="33" t="n"/>
      <c r="F291" s="33" t="n"/>
      <c r="G291" s="33" t="n"/>
      <c r="H291" s="33" t="n"/>
      <c r="I291" s="34" t="n"/>
      <c r="J291" s="33" t="n"/>
      <c r="K291" s="33" t="n"/>
      <c r="L291" s="33" t="n"/>
      <c r="M291" s="35">
        <f>IF(H291="","",IFERROR(INDEX(Parceiros!$E$5:$E$54,MATCH(H291,Parceiros!$A$5:$A$54,0)),0))</f>
        <v/>
      </c>
      <c r="N291" s="36">
        <f>IF(OR(H291="",I291="",K291="Cancelado"),0,I291*N(M291))</f>
        <v/>
      </c>
      <c r="O291" s="37">
        <f>IF(ISNUMBER(A291),MONTH(A291),"")</f>
        <v/>
      </c>
      <c r="P291" s="37">
        <f>IF(ISNUMBER(A291),YEAR(A291),"")</f>
        <v/>
      </c>
    </row>
    <row r="292">
      <c r="A292" s="32" t="n"/>
      <c r="B292" s="33" t="n"/>
      <c r="C292" s="33" t="n"/>
      <c r="D292" s="33" t="n"/>
      <c r="E292" s="33" t="n"/>
      <c r="F292" s="33" t="n"/>
      <c r="G292" s="33" t="n"/>
      <c r="H292" s="33" t="n"/>
      <c r="I292" s="34" t="n"/>
      <c r="J292" s="33" t="n"/>
      <c r="K292" s="33" t="n"/>
      <c r="L292" s="33" t="n"/>
      <c r="M292" s="35">
        <f>IF(H292="","",IFERROR(INDEX(Parceiros!$E$5:$E$54,MATCH(H292,Parceiros!$A$5:$A$54,0)),0))</f>
        <v/>
      </c>
      <c r="N292" s="36">
        <f>IF(OR(H292="",I292="",K292="Cancelado"),0,I292*N(M292))</f>
        <v/>
      </c>
      <c r="O292" s="37">
        <f>IF(ISNUMBER(A292),MONTH(A292),"")</f>
        <v/>
      </c>
      <c r="P292" s="37">
        <f>IF(ISNUMBER(A292),YEAR(A292),"")</f>
        <v/>
      </c>
    </row>
    <row r="293">
      <c r="A293" s="32" t="n"/>
      <c r="B293" s="33" t="n"/>
      <c r="C293" s="33" t="n"/>
      <c r="D293" s="33" t="n"/>
      <c r="E293" s="33" t="n"/>
      <c r="F293" s="33" t="n"/>
      <c r="G293" s="33" t="n"/>
      <c r="H293" s="33" t="n"/>
      <c r="I293" s="34" t="n"/>
      <c r="J293" s="33" t="n"/>
      <c r="K293" s="33" t="n"/>
      <c r="L293" s="33" t="n"/>
      <c r="M293" s="35">
        <f>IF(H293="","",IFERROR(INDEX(Parceiros!$E$5:$E$54,MATCH(H293,Parceiros!$A$5:$A$54,0)),0))</f>
        <v/>
      </c>
      <c r="N293" s="36">
        <f>IF(OR(H293="",I293="",K293="Cancelado"),0,I293*N(M293))</f>
        <v/>
      </c>
      <c r="O293" s="37">
        <f>IF(ISNUMBER(A293),MONTH(A293),"")</f>
        <v/>
      </c>
      <c r="P293" s="37">
        <f>IF(ISNUMBER(A293),YEAR(A293),"")</f>
        <v/>
      </c>
    </row>
    <row r="294">
      <c r="A294" s="32" t="n"/>
      <c r="B294" s="33" t="n"/>
      <c r="C294" s="33" t="n"/>
      <c r="D294" s="33" t="n"/>
      <c r="E294" s="33" t="n"/>
      <c r="F294" s="33" t="n"/>
      <c r="G294" s="33" t="n"/>
      <c r="H294" s="33" t="n"/>
      <c r="I294" s="34" t="n"/>
      <c r="J294" s="33" t="n"/>
      <c r="K294" s="33" t="n"/>
      <c r="L294" s="33" t="n"/>
      <c r="M294" s="35">
        <f>IF(H294="","",IFERROR(INDEX(Parceiros!$E$5:$E$54,MATCH(H294,Parceiros!$A$5:$A$54,0)),0))</f>
        <v/>
      </c>
      <c r="N294" s="36">
        <f>IF(OR(H294="",I294="",K294="Cancelado"),0,I294*N(M294))</f>
        <v/>
      </c>
      <c r="O294" s="37">
        <f>IF(ISNUMBER(A294),MONTH(A294),"")</f>
        <v/>
      </c>
      <c r="P294" s="37">
        <f>IF(ISNUMBER(A294),YEAR(A294),"")</f>
        <v/>
      </c>
    </row>
    <row r="295">
      <c r="A295" s="32" t="n"/>
      <c r="B295" s="33" t="n"/>
      <c r="C295" s="33" t="n"/>
      <c r="D295" s="33" t="n"/>
      <c r="E295" s="33" t="n"/>
      <c r="F295" s="33" t="n"/>
      <c r="G295" s="33" t="n"/>
      <c r="H295" s="33" t="n"/>
      <c r="I295" s="34" t="n"/>
      <c r="J295" s="33" t="n"/>
      <c r="K295" s="33" t="n"/>
      <c r="L295" s="33" t="n"/>
      <c r="M295" s="35">
        <f>IF(H295="","",IFERROR(INDEX(Parceiros!$E$5:$E$54,MATCH(H295,Parceiros!$A$5:$A$54,0)),0))</f>
        <v/>
      </c>
      <c r="N295" s="36">
        <f>IF(OR(H295="",I295="",K295="Cancelado"),0,I295*N(M295))</f>
        <v/>
      </c>
      <c r="O295" s="37">
        <f>IF(ISNUMBER(A295),MONTH(A295),"")</f>
        <v/>
      </c>
      <c r="P295" s="37">
        <f>IF(ISNUMBER(A295),YEAR(A295),"")</f>
        <v/>
      </c>
    </row>
    <row r="296">
      <c r="A296" s="32" t="n"/>
      <c r="B296" s="33" t="n"/>
      <c r="C296" s="33" t="n"/>
      <c r="D296" s="33" t="n"/>
      <c r="E296" s="33" t="n"/>
      <c r="F296" s="33" t="n"/>
      <c r="G296" s="33" t="n"/>
      <c r="H296" s="33" t="n"/>
      <c r="I296" s="34" t="n"/>
      <c r="J296" s="33" t="n"/>
      <c r="K296" s="33" t="n"/>
      <c r="L296" s="33" t="n"/>
      <c r="M296" s="35">
        <f>IF(H296="","",IFERROR(INDEX(Parceiros!$E$5:$E$54,MATCH(H296,Parceiros!$A$5:$A$54,0)),0))</f>
        <v/>
      </c>
      <c r="N296" s="36">
        <f>IF(OR(H296="",I296="",K296="Cancelado"),0,I296*N(M296))</f>
        <v/>
      </c>
      <c r="O296" s="37">
        <f>IF(ISNUMBER(A296),MONTH(A296),"")</f>
        <v/>
      </c>
      <c r="P296" s="37">
        <f>IF(ISNUMBER(A296),YEAR(A296),"")</f>
        <v/>
      </c>
    </row>
    <row r="297">
      <c r="A297" s="32" t="n"/>
      <c r="B297" s="33" t="n"/>
      <c r="C297" s="33" t="n"/>
      <c r="D297" s="33" t="n"/>
      <c r="E297" s="33" t="n"/>
      <c r="F297" s="33" t="n"/>
      <c r="G297" s="33" t="n"/>
      <c r="H297" s="33" t="n"/>
      <c r="I297" s="34" t="n"/>
      <c r="J297" s="33" t="n"/>
      <c r="K297" s="33" t="n"/>
      <c r="L297" s="33" t="n"/>
      <c r="M297" s="35">
        <f>IF(H297="","",IFERROR(INDEX(Parceiros!$E$5:$E$54,MATCH(H297,Parceiros!$A$5:$A$54,0)),0))</f>
        <v/>
      </c>
      <c r="N297" s="36">
        <f>IF(OR(H297="",I297="",K297="Cancelado"),0,I297*N(M297))</f>
        <v/>
      </c>
      <c r="O297" s="37">
        <f>IF(ISNUMBER(A297),MONTH(A297),"")</f>
        <v/>
      </c>
      <c r="P297" s="37">
        <f>IF(ISNUMBER(A297),YEAR(A297),"")</f>
        <v/>
      </c>
    </row>
    <row r="298">
      <c r="A298" s="32" t="n"/>
      <c r="B298" s="33" t="n"/>
      <c r="C298" s="33" t="n"/>
      <c r="D298" s="33" t="n"/>
      <c r="E298" s="33" t="n"/>
      <c r="F298" s="33" t="n"/>
      <c r="G298" s="33" t="n"/>
      <c r="H298" s="33" t="n"/>
      <c r="I298" s="34" t="n"/>
      <c r="J298" s="33" t="n"/>
      <c r="K298" s="33" t="n"/>
      <c r="L298" s="33" t="n"/>
      <c r="M298" s="35">
        <f>IF(H298="","",IFERROR(INDEX(Parceiros!$E$5:$E$54,MATCH(H298,Parceiros!$A$5:$A$54,0)),0))</f>
        <v/>
      </c>
      <c r="N298" s="36">
        <f>IF(OR(H298="",I298="",K298="Cancelado"),0,I298*N(M298))</f>
        <v/>
      </c>
      <c r="O298" s="37">
        <f>IF(ISNUMBER(A298),MONTH(A298),"")</f>
        <v/>
      </c>
      <c r="P298" s="37">
        <f>IF(ISNUMBER(A298),YEAR(A298),"")</f>
        <v/>
      </c>
    </row>
    <row r="299">
      <c r="A299" s="32" t="n"/>
      <c r="B299" s="33" t="n"/>
      <c r="C299" s="33" t="n"/>
      <c r="D299" s="33" t="n"/>
      <c r="E299" s="33" t="n"/>
      <c r="F299" s="33" t="n"/>
      <c r="G299" s="33" t="n"/>
      <c r="H299" s="33" t="n"/>
      <c r="I299" s="34" t="n"/>
      <c r="J299" s="33" t="n"/>
      <c r="K299" s="33" t="n"/>
      <c r="L299" s="33" t="n"/>
      <c r="M299" s="35">
        <f>IF(H299="","",IFERROR(INDEX(Parceiros!$E$5:$E$54,MATCH(H299,Parceiros!$A$5:$A$54,0)),0))</f>
        <v/>
      </c>
      <c r="N299" s="36">
        <f>IF(OR(H299="",I299="",K299="Cancelado"),0,I299*N(M299))</f>
        <v/>
      </c>
      <c r="O299" s="37">
        <f>IF(ISNUMBER(A299),MONTH(A299),"")</f>
        <v/>
      </c>
      <c r="P299" s="37">
        <f>IF(ISNUMBER(A299),YEAR(A299),"")</f>
        <v/>
      </c>
    </row>
    <row r="300">
      <c r="A300" s="32" t="n"/>
      <c r="B300" s="33" t="n"/>
      <c r="C300" s="33" t="n"/>
      <c r="D300" s="33" t="n"/>
      <c r="E300" s="33" t="n"/>
      <c r="F300" s="33" t="n"/>
      <c r="G300" s="33" t="n"/>
      <c r="H300" s="33" t="n"/>
      <c r="I300" s="34" t="n"/>
      <c r="J300" s="33" t="n"/>
      <c r="K300" s="33" t="n"/>
      <c r="L300" s="33" t="n"/>
      <c r="M300" s="35">
        <f>IF(H300="","",IFERROR(INDEX(Parceiros!$E$5:$E$54,MATCH(H300,Parceiros!$A$5:$A$54,0)),0))</f>
        <v/>
      </c>
      <c r="N300" s="36">
        <f>IF(OR(H300="",I300="",K300="Cancelado"),0,I300*N(M300))</f>
        <v/>
      </c>
      <c r="O300" s="37">
        <f>IF(ISNUMBER(A300),MONTH(A300),"")</f>
        <v/>
      </c>
      <c r="P300" s="37">
        <f>IF(ISNUMBER(A300),YEAR(A300),"")</f>
        <v/>
      </c>
    </row>
    <row r="301">
      <c r="A301" s="32" t="n"/>
      <c r="B301" s="33" t="n"/>
      <c r="C301" s="33" t="n"/>
      <c r="D301" s="33" t="n"/>
      <c r="E301" s="33" t="n"/>
      <c r="F301" s="33" t="n"/>
      <c r="G301" s="33" t="n"/>
      <c r="H301" s="33" t="n"/>
      <c r="I301" s="34" t="n"/>
      <c r="J301" s="33" t="n"/>
      <c r="K301" s="33" t="n"/>
      <c r="L301" s="33" t="n"/>
      <c r="M301" s="35">
        <f>IF(H301="","",IFERROR(INDEX(Parceiros!$E$5:$E$54,MATCH(H301,Parceiros!$A$5:$A$54,0)),0))</f>
        <v/>
      </c>
      <c r="N301" s="36">
        <f>IF(OR(H301="",I301="",K301="Cancelado"),0,I301*N(M301))</f>
        <v/>
      </c>
      <c r="O301" s="37">
        <f>IF(ISNUMBER(A301),MONTH(A301),"")</f>
        <v/>
      </c>
      <c r="P301" s="37">
        <f>IF(ISNUMBER(A301),YEAR(A301),"")</f>
        <v/>
      </c>
    </row>
    <row r="302">
      <c r="A302" s="32" t="n"/>
      <c r="B302" s="33" t="n"/>
      <c r="C302" s="33" t="n"/>
      <c r="D302" s="33" t="n"/>
      <c r="E302" s="33" t="n"/>
      <c r="F302" s="33" t="n"/>
      <c r="G302" s="33" t="n"/>
      <c r="H302" s="33" t="n"/>
      <c r="I302" s="34" t="n"/>
      <c r="J302" s="33" t="n"/>
      <c r="K302" s="33" t="n"/>
      <c r="L302" s="33" t="n"/>
      <c r="M302" s="35">
        <f>IF(H302="","",IFERROR(INDEX(Parceiros!$E$5:$E$54,MATCH(H302,Parceiros!$A$5:$A$54,0)),0))</f>
        <v/>
      </c>
      <c r="N302" s="36">
        <f>IF(OR(H302="",I302="",K302="Cancelado"),0,I302*N(M302))</f>
        <v/>
      </c>
      <c r="O302" s="37">
        <f>IF(ISNUMBER(A302),MONTH(A302),"")</f>
        <v/>
      </c>
      <c r="P302" s="37">
        <f>IF(ISNUMBER(A302),YEAR(A302),"")</f>
        <v/>
      </c>
    </row>
    <row r="303">
      <c r="A303" s="32" t="n"/>
      <c r="B303" s="33" t="n"/>
      <c r="C303" s="33" t="n"/>
      <c r="D303" s="33" t="n"/>
      <c r="E303" s="33" t="n"/>
      <c r="F303" s="33" t="n"/>
      <c r="G303" s="33" t="n"/>
      <c r="H303" s="33" t="n"/>
      <c r="I303" s="34" t="n"/>
      <c r="J303" s="33" t="n"/>
      <c r="K303" s="33" t="n"/>
      <c r="L303" s="33" t="n"/>
      <c r="M303" s="35">
        <f>IF(H303="","",IFERROR(INDEX(Parceiros!$E$5:$E$54,MATCH(H303,Parceiros!$A$5:$A$54,0)),0))</f>
        <v/>
      </c>
      <c r="N303" s="36">
        <f>IF(OR(H303="",I303="",K303="Cancelado"),0,I303*N(M303))</f>
        <v/>
      </c>
      <c r="O303" s="37">
        <f>IF(ISNUMBER(A303),MONTH(A303),"")</f>
        <v/>
      </c>
      <c r="P303" s="37">
        <f>IF(ISNUMBER(A303),YEAR(A303),"")</f>
        <v/>
      </c>
    </row>
    <row r="304">
      <c r="A304" s="32" t="n"/>
      <c r="B304" s="33" t="n"/>
      <c r="C304" s="33" t="n"/>
      <c r="D304" s="33" t="n"/>
      <c r="E304" s="33" t="n"/>
      <c r="F304" s="33" t="n"/>
      <c r="G304" s="33" t="n"/>
      <c r="H304" s="33" t="n"/>
      <c r="I304" s="34" t="n"/>
      <c r="J304" s="33" t="n"/>
      <c r="K304" s="33" t="n"/>
      <c r="L304" s="33" t="n"/>
      <c r="M304" s="35">
        <f>IF(H304="","",IFERROR(INDEX(Parceiros!$E$5:$E$54,MATCH(H304,Parceiros!$A$5:$A$54,0)),0))</f>
        <v/>
      </c>
      <c r="N304" s="36">
        <f>IF(OR(H304="",I304="",K304="Cancelado"),0,I304*N(M304))</f>
        <v/>
      </c>
      <c r="O304" s="37">
        <f>IF(ISNUMBER(A304),MONTH(A304),"")</f>
        <v/>
      </c>
      <c r="P304" s="37">
        <f>IF(ISNUMBER(A304),YEAR(A304),"")</f>
        <v/>
      </c>
    </row>
    <row r="305">
      <c r="A305" s="32" t="n"/>
      <c r="B305" s="33" t="n"/>
      <c r="C305" s="33" t="n"/>
      <c r="D305" s="33" t="n"/>
      <c r="E305" s="33" t="n"/>
      <c r="F305" s="33" t="n"/>
      <c r="G305" s="33" t="n"/>
      <c r="H305" s="33" t="n"/>
      <c r="I305" s="34" t="n"/>
      <c r="J305" s="33" t="n"/>
      <c r="K305" s="33" t="n"/>
      <c r="L305" s="33" t="n"/>
      <c r="M305" s="35">
        <f>IF(H305="","",IFERROR(INDEX(Parceiros!$E$5:$E$54,MATCH(H305,Parceiros!$A$5:$A$54,0)),0))</f>
        <v/>
      </c>
      <c r="N305" s="36">
        <f>IF(OR(H305="",I305="",K305="Cancelado"),0,I305*N(M305))</f>
        <v/>
      </c>
      <c r="O305" s="37">
        <f>IF(ISNUMBER(A305),MONTH(A305),"")</f>
        <v/>
      </c>
      <c r="P305" s="37">
        <f>IF(ISNUMBER(A305),YEAR(A305),"")</f>
        <v/>
      </c>
    </row>
    <row r="306">
      <c r="A306" s="32" t="n"/>
      <c r="B306" s="33" t="n"/>
      <c r="C306" s="33" t="n"/>
      <c r="D306" s="33" t="n"/>
      <c r="E306" s="33" t="n"/>
      <c r="F306" s="33" t="n"/>
      <c r="G306" s="33" t="n"/>
      <c r="H306" s="33" t="n"/>
      <c r="I306" s="34" t="n"/>
      <c r="J306" s="33" t="n"/>
      <c r="K306" s="33" t="n"/>
      <c r="L306" s="33" t="n"/>
      <c r="M306" s="35">
        <f>IF(H306="","",IFERROR(INDEX(Parceiros!$E$5:$E$54,MATCH(H306,Parceiros!$A$5:$A$54,0)),0))</f>
        <v/>
      </c>
      <c r="N306" s="36">
        <f>IF(OR(H306="",I306="",K306="Cancelado"),0,I306*N(M306))</f>
        <v/>
      </c>
      <c r="O306" s="37">
        <f>IF(ISNUMBER(A306),MONTH(A306),"")</f>
        <v/>
      </c>
      <c r="P306" s="37">
        <f>IF(ISNUMBER(A306),YEAR(A306),"")</f>
        <v/>
      </c>
    </row>
    <row r="307">
      <c r="A307" s="32" t="n"/>
      <c r="B307" s="33" t="n"/>
      <c r="C307" s="33" t="n"/>
      <c r="D307" s="33" t="n"/>
      <c r="E307" s="33" t="n"/>
      <c r="F307" s="33" t="n"/>
      <c r="G307" s="33" t="n"/>
      <c r="H307" s="33" t="n"/>
      <c r="I307" s="34" t="n"/>
      <c r="J307" s="33" t="n"/>
      <c r="K307" s="33" t="n"/>
      <c r="L307" s="33" t="n"/>
      <c r="M307" s="35">
        <f>IF(H307="","",IFERROR(INDEX(Parceiros!$E$5:$E$54,MATCH(H307,Parceiros!$A$5:$A$54,0)),0))</f>
        <v/>
      </c>
      <c r="N307" s="36">
        <f>IF(OR(H307="",I307="",K307="Cancelado"),0,I307*N(M307))</f>
        <v/>
      </c>
      <c r="O307" s="37">
        <f>IF(ISNUMBER(A307),MONTH(A307),"")</f>
        <v/>
      </c>
      <c r="P307" s="37">
        <f>IF(ISNUMBER(A307),YEAR(A307),"")</f>
        <v/>
      </c>
    </row>
    <row r="308">
      <c r="A308" s="32" t="n"/>
      <c r="B308" s="33" t="n"/>
      <c r="C308" s="33" t="n"/>
      <c r="D308" s="33" t="n"/>
      <c r="E308" s="33" t="n"/>
      <c r="F308" s="33" t="n"/>
      <c r="G308" s="33" t="n"/>
      <c r="H308" s="33" t="n"/>
      <c r="I308" s="34" t="n"/>
      <c r="J308" s="33" t="n"/>
      <c r="K308" s="33" t="n"/>
      <c r="L308" s="33" t="n"/>
      <c r="M308" s="35">
        <f>IF(H308="","",IFERROR(INDEX(Parceiros!$E$5:$E$54,MATCH(H308,Parceiros!$A$5:$A$54,0)),0))</f>
        <v/>
      </c>
      <c r="N308" s="36">
        <f>IF(OR(H308="",I308="",K308="Cancelado"),0,I308*N(M308))</f>
        <v/>
      </c>
      <c r="O308" s="37">
        <f>IF(ISNUMBER(A308),MONTH(A308),"")</f>
        <v/>
      </c>
      <c r="P308" s="37">
        <f>IF(ISNUMBER(A308),YEAR(A308),"")</f>
        <v/>
      </c>
    </row>
    <row r="309">
      <c r="A309" s="32" t="n"/>
      <c r="B309" s="33" t="n"/>
      <c r="C309" s="33" t="n"/>
      <c r="D309" s="33" t="n"/>
      <c r="E309" s="33" t="n"/>
      <c r="F309" s="33" t="n"/>
      <c r="G309" s="33" t="n"/>
      <c r="H309" s="33" t="n"/>
      <c r="I309" s="34" t="n"/>
      <c r="J309" s="33" t="n"/>
      <c r="K309" s="33" t="n"/>
      <c r="L309" s="33" t="n"/>
      <c r="M309" s="35">
        <f>IF(H309="","",IFERROR(INDEX(Parceiros!$E$5:$E$54,MATCH(H309,Parceiros!$A$5:$A$54,0)),0))</f>
        <v/>
      </c>
      <c r="N309" s="36">
        <f>IF(OR(H309="",I309="",K309="Cancelado"),0,I309*N(M309))</f>
        <v/>
      </c>
      <c r="O309" s="37">
        <f>IF(ISNUMBER(A309),MONTH(A309),"")</f>
        <v/>
      </c>
      <c r="P309" s="37">
        <f>IF(ISNUMBER(A309),YEAR(A309),"")</f>
        <v/>
      </c>
    </row>
    <row r="310">
      <c r="A310" s="32" t="n"/>
      <c r="B310" s="33" t="n"/>
      <c r="C310" s="33" t="n"/>
      <c r="D310" s="33" t="n"/>
      <c r="E310" s="33" t="n"/>
      <c r="F310" s="33" t="n"/>
      <c r="G310" s="33" t="n"/>
      <c r="H310" s="33" t="n"/>
      <c r="I310" s="34" t="n"/>
      <c r="J310" s="33" t="n"/>
      <c r="K310" s="33" t="n"/>
      <c r="L310" s="33" t="n"/>
      <c r="M310" s="35">
        <f>IF(H310="","",IFERROR(INDEX(Parceiros!$E$5:$E$54,MATCH(H310,Parceiros!$A$5:$A$54,0)),0))</f>
        <v/>
      </c>
      <c r="N310" s="36">
        <f>IF(OR(H310="",I310="",K310="Cancelado"),0,I310*N(M310))</f>
        <v/>
      </c>
      <c r="O310" s="37">
        <f>IF(ISNUMBER(A310),MONTH(A310),"")</f>
        <v/>
      </c>
      <c r="P310" s="37">
        <f>IF(ISNUMBER(A310),YEAR(A310),"")</f>
        <v/>
      </c>
    </row>
    <row r="311">
      <c r="A311" s="32" t="n"/>
      <c r="B311" s="33" t="n"/>
      <c r="C311" s="33" t="n"/>
      <c r="D311" s="33" t="n"/>
      <c r="E311" s="33" t="n"/>
      <c r="F311" s="33" t="n"/>
      <c r="G311" s="33" t="n"/>
      <c r="H311" s="33" t="n"/>
      <c r="I311" s="34" t="n"/>
      <c r="J311" s="33" t="n"/>
      <c r="K311" s="33" t="n"/>
      <c r="L311" s="33" t="n"/>
      <c r="M311" s="35">
        <f>IF(H311="","",IFERROR(INDEX(Parceiros!$E$5:$E$54,MATCH(H311,Parceiros!$A$5:$A$54,0)),0))</f>
        <v/>
      </c>
      <c r="N311" s="36">
        <f>IF(OR(H311="",I311="",K311="Cancelado"),0,I311*N(M311))</f>
        <v/>
      </c>
      <c r="O311" s="37">
        <f>IF(ISNUMBER(A311),MONTH(A311),"")</f>
        <v/>
      </c>
      <c r="P311" s="37">
        <f>IF(ISNUMBER(A311),YEAR(A311),"")</f>
        <v/>
      </c>
    </row>
    <row r="312">
      <c r="A312" s="32" t="n"/>
      <c r="B312" s="33" t="n"/>
      <c r="C312" s="33" t="n"/>
      <c r="D312" s="33" t="n"/>
      <c r="E312" s="33" t="n"/>
      <c r="F312" s="33" t="n"/>
      <c r="G312" s="33" t="n"/>
      <c r="H312" s="33" t="n"/>
      <c r="I312" s="34" t="n"/>
      <c r="J312" s="33" t="n"/>
      <c r="K312" s="33" t="n"/>
      <c r="L312" s="33" t="n"/>
      <c r="M312" s="35">
        <f>IF(H312="","",IFERROR(INDEX(Parceiros!$E$5:$E$54,MATCH(H312,Parceiros!$A$5:$A$54,0)),0))</f>
        <v/>
      </c>
      <c r="N312" s="36">
        <f>IF(OR(H312="",I312="",K312="Cancelado"),0,I312*N(M312))</f>
        <v/>
      </c>
      <c r="O312" s="37">
        <f>IF(ISNUMBER(A312),MONTH(A312),"")</f>
        <v/>
      </c>
      <c r="P312" s="37">
        <f>IF(ISNUMBER(A312),YEAR(A312),"")</f>
        <v/>
      </c>
    </row>
    <row r="313">
      <c r="A313" s="32" t="n"/>
      <c r="B313" s="33" t="n"/>
      <c r="C313" s="33" t="n"/>
      <c r="D313" s="33" t="n"/>
      <c r="E313" s="33" t="n"/>
      <c r="F313" s="33" t="n"/>
      <c r="G313" s="33" t="n"/>
      <c r="H313" s="33" t="n"/>
      <c r="I313" s="34" t="n"/>
      <c r="J313" s="33" t="n"/>
      <c r="K313" s="33" t="n"/>
      <c r="L313" s="33" t="n"/>
      <c r="M313" s="35">
        <f>IF(H313="","",IFERROR(INDEX(Parceiros!$E$5:$E$54,MATCH(H313,Parceiros!$A$5:$A$54,0)),0))</f>
        <v/>
      </c>
      <c r="N313" s="36">
        <f>IF(OR(H313="",I313="",K313="Cancelado"),0,I313*N(M313))</f>
        <v/>
      </c>
      <c r="O313" s="37">
        <f>IF(ISNUMBER(A313),MONTH(A313),"")</f>
        <v/>
      </c>
      <c r="P313" s="37">
        <f>IF(ISNUMBER(A313),YEAR(A313),"")</f>
        <v/>
      </c>
    </row>
    <row r="314">
      <c r="A314" s="32" t="n"/>
      <c r="B314" s="33" t="n"/>
      <c r="C314" s="33" t="n"/>
      <c r="D314" s="33" t="n"/>
      <c r="E314" s="33" t="n"/>
      <c r="F314" s="33" t="n"/>
      <c r="G314" s="33" t="n"/>
      <c r="H314" s="33" t="n"/>
      <c r="I314" s="34" t="n"/>
      <c r="J314" s="33" t="n"/>
      <c r="K314" s="33" t="n"/>
      <c r="L314" s="33" t="n"/>
      <c r="M314" s="35">
        <f>IF(H314="","",IFERROR(INDEX(Parceiros!$E$5:$E$54,MATCH(H314,Parceiros!$A$5:$A$54,0)),0))</f>
        <v/>
      </c>
      <c r="N314" s="36">
        <f>IF(OR(H314="",I314="",K314="Cancelado"),0,I314*N(M314))</f>
        <v/>
      </c>
      <c r="O314" s="37">
        <f>IF(ISNUMBER(A314),MONTH(A314),"")</f>
        <v/>
      </c>
      <c r="P314" s="37">
        <f>IF(ISNUMBER(A314),YEAR(A314),"")</f>
        <v/>
      </c>
    </row>
    <row r="315">
      <c r="A315" s="32" t="n"/>
      <c r="B315" s="33" t="n"/>
      <c r="C315" s="33" t="n"/>
      <c r="D315" s="33" t="n"/>
      <c r="E315" s="33" t="n"/>
      <c r="F315" s="33" t="n"/>
      <c r="G315" s="33" t="n"/>
      <c r="H315" s="33" t="n"/>
      <c r="I315" s="34" t="n"/>
      <c r="J315" s="33" t="n"/>
      <c r="K315" s="33" t="n"/>
      <c r="L315" s="33" t="n"/>
      <c r="M315" s="35">
        <f>IF(H315="","",IFERROR(INDEX(Parceiros!$E$5:$E$54,MATCH(H315,Parceiros!$A$5:$A$54,0)),0))</f>
        <v/>
      </c>
      <c r="N315" s="36">
        <f>IF(OR(H315="",I315="",K315="Cancelado"),0,I315*N(M315))</f>
        <v/>
      </c>
      <c r="O315" s="37">
        <f>IF(ISNUMBER(A315),MONTH(A315),"")</f>
        <v/>
      </c>
      <c r="P315" s="37">
        <f>IF(ISNUMBER(A315),YEAR(A315),"")</f>
        <v/>
      </c>
    </row>
    <row r="316">
      <c r="A316" s="32" t="n"/>
      <c r="B316" s="33" t="n"/>
      <c r="C316" s="33" t="n"/>
      <c r="D316" s="33" t="n"/>
      <c r="E316" s="33" t="n"/>
      <c r="F316" s="33" t="n"/>
      <c r="G316" s="33" t="n"/>
      <c r="H316" s="33" t="n"/>
      <c r="I316" s="34" t="n"/>
      <c r="J316" s="33" t="n"/>
      <c r="K316" s="33" t="n"/>
      <c r="L316" s="33" t="n"/>
      <c r="M316" s="35">
        <f>IF(H316="","",IFERROR(INDEX(Parceiros!$E$5:$E$54,MATCH(H316,Parceiros!$A$5:$A$54,0)),0))</f>
        <v/>
      </c>
      <c r="N316" s="36">
        <f>IF(OR(H316="",I316="",K316="Cancelado"),0,I316*N(M316))</f>
        <v/>
      </c>
      <c r="O316" s="37">
        <f>IF(ISNUMBER(A316),MONTH(A316),"")</f>
        <v/>
      </c>
      <c r="P316" s="37">
        <f>IF(ISNUMBER(A316),YEAR(A316),"")</f>
        <v/>
      </c>
    </row>
    <row r="317">
      <c r="A317" s="32" t="n"/>
      <c r="B317" s="33" t="n"/>
      <c r="C317" s="33" t="n"/>
      <c r="D317" s="33" t="n"/>
      <c r="E317" s="33" t="n"/>
      <c r="F317" s="33" t="n"/>
      <c r="G317" s="33" t="n"/>
      <c r="H317" s="33" t="n"/>
      <c r="I317" s="34" t="n"/>
      <c r="J317" s="33" t="n"/>
      <c r="K317" s="33" t="n"/>
      <c r="L317" s="33" t="n"/>
      <c r="M317" s="35">
        <f>IF(H317="","",IFERROR(INDEX(Parceiros!$E$5:$E$54,MATCH(H317,Parceiros!$A$5:$A$54,0)),0))</f>
        <v/>
      </c>
      <c r="N317" s="36">
        <f>IF(OR(H317="",I317="",K317="Cancelado"),0,I317*N(M317))</f>
        <v/>
      </c>
      <c r="O317" s="37">
        <f>IF(ISNUMBER(A317),MONTH(A317),"")</f>
        <v/>
      </c>
      <c r="P317" s="37">
        <f>IF(ISNUMBER(A317),YEAR(A317),"")</f>
        <v/>
      </c>
    </row>
    <row r="318">
      <c r="A318" s="32" t="n"/>
      <c r="B318" s="33" t="n"/>
      <c r="C318" s="33" t="n"/>
      <c r="D318" s="33" t="n"/>
      <c r="E318" s="33" t="n"/>
      <c r="F318" s="33" t="n"/>
      <c r="G318" s="33" t="n"/>
      <c r="H318" s="33" t="n"/>
      <c r="I318" s="34" t="n"/>
      <c r="J318" s="33" t="n"/>
      <c r="K318" s="33" t="n"/>
      <c r="L318" s="33" t="n"/>
      <c r="M318" s="35">
        <f>IF(H318="","",IFERROR(INDEX(Parceiros!$E$5:$E$54,MATCH(H318,Parceiros!$A$5:$A$54,0)),0))</f>
        <v/>
      </c>
      <c r="N318" s="36">
        <f>IF(OR(H318="",I318="",K318="Cancelado"),0,I318*N(M318))</f>
        <v/>
      </c>
      <c r="O318" s="37">
        <f>IF(ISNUMBER(A318),MONTH(A318),"")</f>
        <v/>
      </c>
      <c r="P318" s="37">
        <f>IF(ISNUMBER(A318),YEAR(A318),"")</f>
        <v/>
      </c>
    </row>
    <row r="319">
      <c r="A319" s="32" t="n"/>
      <c r="B319" s="33" t="n"/>
      <c r="C319" s="33" t="n"/>
      <c r="D319" s="33" t="n"/>
      <c r="E319" s="33" t="n"/>
      <c r="F319" s="33" t="n"/>
      <c r="G319" s="33" t="n"/>
      <c r="H319" s="33" t="n"/>
      <c r="I319" s="34" t="n"/>
      <c r="J319" s="33" t="n"/>
      <c r="K319" s="33" t="n"/>
      <c r="L319" s="33" t="n"/>
      <c r="M319" s="35">
        <f>IF(H319="","",IFERROR(INDEX(Parceiros!$E$5:$E$54,MATCH(H319,Parceiros!$A$5:$A$54,0)),0))</f>
        <v/>
      </c>
      <c r="N319" s="36">
        <f>IF(OR(H319="",I319="",K319="Cancelado"),0,I319*N(M319))</f>
        <v/>
      </c>
      <c r="O319" s="37">
        <f>IF(ISNUMBER(A319),MONTH(A319),"")</f>
        <v/>
      </c>
      <c r="P319" s="37">
        <f>IF(ISNUMBER(A319),YEAR(A319),"")</f>
        <v/>
      </c>
    </row>
    <row r="320">
      <c r="A320" s="32" t="n"/>
      <c r="B320" s="33" t="n"/>
      <c r="C320" s="33" t="n"/>
      <c r="D320" s="33" t="n"/>
      <c r="E320" s="33" t="n"/>
      <c r="F320" s="33" t="n"/>
      <c r="G320" s="33" t="n"/>
      <c r="H320" s="33" t="n"/>
      <c r="I320" s="34" t="n"/>
      <c r="J320" s="33" t="n"/>
      <c r="K320" s="33" t="n"/>
      <c r="L320" s="33" t="n"/>
      <c r="M320" s="35">
        <f>IF(H320="","",IFERROR(INDEX(Parceiros!$E$5:$E$54,MATCH(H320,Parceiros!$A$5:$A$54,0)),0))</f>
        <v/>
      </c>
      <c r="N320" s="36">
        <f>IF(OR(H320="",I320="",K320="Cancelado"),0,I320*N(M320))</f>
        <v/>
      </c>
      <c r="O320" s="37">
        <f>IF(ISNUMBER(A320),MONTH(A320),"")</f>
        <v/>
      </c>
      <c r="P320" s="37">
        <f>IF(ISNUMBER(A320),YEAR(A320),"")</f>
        <v/>
      </c>
    </row>
    <row r="321">
      <c r="A321" s="32" t="n"/>
      <c r="B321" s="33" t="n"/>
      <c r="C321" s="33" t="n"/>
      <c r="D321" s="33" t="n"/>
      <c r="E321" s="33" t="n"/>
      <c r="F321" s="33" t="n"/>
      <c r="G321" s="33" t="n"/>
      <c r="H321" s="33" t="n"/>
      <c r="I321" s="34" t="n"/>
      <c r="J321" s="33" t="n"/>
      <c r="K321" s="33" t="n"/>
      <c r="L321" s="33" t="n"/>
      <c r="M321" s="35">
        <f>IF(H321="","",IFERROR(INDEX(Parceiros!$E$5:$E$54,MATCH(H321,Parceiros!$A$5:$A$54,0)),0))</f>
        <v/>
      </c>
      <c r="N321" s="36">
        <f>IF(OR(H321="",I321="",K321="Cancelado"),0,I321*N(M321))</f>
        <v/>
      </c>
      <c r="O321" s="37">
        <f>IF(ISNUMBER(A321),MONTH(A321),"")</f>
        <v/>
      </c>
      <c r="P321" s="37">
        <f>IF(ISNUMBER(A321),YEAR(A321),"")</f>
        <v/>
      </c>
    </row>
    <row r="322">
      <c r="A322" s="32" t="n"/>
      <c r="B322" s="33" t="n"/>
      <c r="C322" s="33" t="n"/>
      <c r="D322" s="33" t="n"/>
      <c r="E322" s="33" t="n"/>
      <c r="F322" s="33" t="n"/>
      <c r="G322" s="33" t="n"/>
      <c r="H322" s="33" t="n"/>
      <c r="I322" s="34" t="n"/>
      <c r="J322" s="33" t="n"/>
      <c r="K322" s="33" t="n"/>
      <c r="L322" s="33" t="n"/>
      <c r="M322" s="35">
        <f>IF(H322="","",IFERROR(INDEX(Parceiros!$E$5:$E$54,MATCH(H322,Parceiros!$A$5:$A$54,0)),0))</f>
        <v/>
      </c>
      <c r="N322" s="36">
        <f>IF(OR(H322="",I322="",K322="Cancelado"),0,I322*N(M322))</f>
        <v/>
      </c>
      <c r="O322" s="37">
        <f>IF(ISNUMBER(A322),MONTH(A322),"")</f>
        <v/>
      </c>
      <c r="P322" s="37">
        <f>IF(ISNUMBER(A322),YEAR(A322),"")</f>
        <v/>
      </c>
    </row>
    <row r="323">
      <c r="A323" s="32" t="n"/>
      <c r="B323" s="33" t="n"/>
      <c r="C323" s="33" t="n"/>
      <c r="D323" s="33" t="n"/>
      <c r="E323" s="33" t="n"/>
      <c r="F323" s="33" t="n"/>
      <c r="G323" s="33" t="n"/>
      <c r="H323" s="33" t="n"/>
      <c r="I323" s="34" t="n"/>
      <c r="J323" s="33" t="n"/>
      <c r="K323" s="33" t="n"/>
      <c r="L323" s="33" t="n"/>
      <c r="M323" s="35">
        <f>IF(H323="","",IFERROR(INDEX(Parceiros!$E$5:$E$54,MATCH(H323,Parceiros!$A$5:$A$54,0)),0))</f>
        <v/>
      </c>
      <c r="N323" s="36">
        <f>IF(OR(H323="",I323="",K323="Cancelado"),0,I323*N(M323))</f>
        <v/>
      </c>
      <c r="O323" s="37">
        <f>IF(ISNUMBER(A323),MONTH(A323),"")</f>
        <v/>
      </c>
      <c r="P323" s="37">
        <f>IF(ISNUMBER(A323),YEAR(A323),"")</f>
        <v/>
      </c>
    </row>
    <row r="324">
      <c r="A324" s="32" t="n"/>
      <c r="B324" s="33" t="n"/>
      <c r="C324" s="33" t="n"/>
      <c r="D324" s="33" t="n"/>
      <c r="E324" s="33" t="n"/>
      <c r="F324" s="33" t="n"/>
      <c r="G324" s="33" t="n"/>
      <c r="H324" s="33" t="n"/>
      <c r="I324" s="34" t="n"/>
      <c r="J324" s="33" t="n"/>
      <c r="K324" s="33" t="n"/>
      <c r="L324" s="33" t="n"/>
      <c r="M324" s="35">
        <f>IF(H324="","",IFERROR(INDEX(Parceiros!$E$5:$E$54,MATCH(H324,Parceiros!$A$5:$A$54,0)),0))</f>
        <v/>
      </c>
      <c r="N324" s="36">
        <f>IF(OR(H324="",I324="",K324="Cancelado"),0,I324*N(M324))</f>
        <v/>
      </c>
      <c r="O324" s="37">
        <f>IF(ISNUMBER(A324),MONTH(A324),"")</f>
        <v/>
      </c>
      <c r="P324" s="37">
        <f>IF(ISNUMBER(A324),YEAR(A324),"")</f>
        <v/>
      </c>
    </row>
    <row r="325">
      <c r="A325" s="32" t="n"/>
      <c r="B325" s="33" t="n"/>
      <c r="C325" s="33" t="n"/>
      <c r="D325" s="33" t="n"/>
      <c r="E325" s="33" t="n"/>
      <c r="F325" s="33" t="n"/>
      <c r="G325" s="33" t="n"/>
      <c r="H325" s="33" t="n"/>
      <c r="I325" s="34" t="n"/>
      <c r="J325" s="33" t="n"/>
      <c r="K325" s="33" t="n"/>
      <c r="L325" s="33" t="n"/>
      <c r="M325" s="35">
        <f>IF(H325="","",IFERROR(INDEX(Parceiros!$E$5:$E$54,MATCH(H325,Parceiros!$A$5:$A$54,0)),0))</f>
        <v/>
      </c>
      <c r="N325" s="36">
        <f>IF(OR(H325="",I325="",K325="Cancelado"),0,I325*N(M325))</f>
        <v/>
      </c>
      <c r="O325" s="37">
        <f>IF(ISNUMBER(A325),MONTH(A325),"")</f>
        <v/>
      </c>
      <c r="P325" s="37">
        <f>IF(ISNUMBER(A325),YEAR(A325),"")</f>
        <v/>
      </c>
    </row>
    <row r="326">
      <c r="A326" s="32" t="n"/>
      <c r="B326" s="33" t="n"/>
      <c r="C326" s="33" t="n"/>
      <c r="D326" s="33" t="n"/>
      <c r="E326" s="33" t="n"/>
      <c r="F326" s="33" t="n"/>
      <c r="G326" s="33" t="n"/>
      <c r="H326" s="33" t="n"/>
      <c r="I326" s="34" t="n"/>
      <c r="J326" s="33" t="n"/>
      <c r="K326" s="33" t="n"/>
      <c r="L326" s="33" t="n"/>
      <c r="M326" s="35">
        <f>IF(H326="","",IFERROR(INDEX(Parceiros!$E$5:$E$54,MATCH(H326,Parceiros!$A$5:$A$54,0)),0))</f>
        <v/>
      </c>
      <c r="N326" s="36">
        <f>IF(OR(H326="",I326="",K326="Cancelado"),0,I326*N(M326))</f>
        <v/>
      </c>
      <c r="O326" s="37">
        <f>IF(ISNUMBER(A326),MONTH(A326),"")</f>
        <v/>
      </c>
      <c r="P326" s="37">
        <f>IF(ISNUMBER(A326),YEAR(A326),"")</f>
        <v/>
      </c>
    </row>
    <row r="327">
      <c r="A327" s="32" t="n"/>
      <c r="B327" s="33" t="n"/>
      <c r="C327" s="33" t="n"/>
      <c r="D327" s="33" t="n"/>
      <c r="E327" s="33" t="n"/>
      <c r="F327" s="33" t="n"/>
      <c r="G327" s="33" t="n"/>
      <c r="H327" s="33" t="n"/>
      <c r="I327" s="34" t="n"/>
      <c r="J327" s="33" t="n"/>
      <c r="K327" s="33" t="n"/>
      <c r="L327" s="33" t="n"/>
      <c r="M327" s="35">
        <f>IF(H327="","",IFERROR(INDEX(Parceiros!$E$5:$E$54,MATCH(H327,Parceiros!$A$5:$A$54,0)),0))</f>
        <v/>
      </c>
      <c r="N327" s="36">
        <f>IF(OR(H327="",I327="",K327="Cancelado"),0,I327*N(M327))</f>
        <v/>
      </c>
      <c r="O327" s="37">
        <f>IF(ISNUMBER(A327),MONTH(A327),"")</f>
        <v/>
      </c>
      <c r="P327" s="37">
        <f>IF(ISNUMBER(A327),YEAR(A327),"")</f>
        <v/>
      </c>
    </row>
    <row r="328">
      <c r="A328" s="32" t="n"/>
      <c r="B328" s="33" t="n"/>
      <c r="C328" s="33" t="n"/>
      <c r="D328" s="33" t="n"/>
      <c r="E328" s="33" t="n"/>
      <c r="F328" s="33" t="n"/>
      <c r="G328" s="33" t="n"/>
      <c r="H328" s="33" t="n"/>
      <c r="I328" s="34" t="n"/>
      <c r="J328" s="33" t="n"/>
      <c r="K328" s="33" t="n"/>
      <c r="L328" s="33" t="n"/>
      <c r="M328" s="35">
        <f>IF(H328="","",IFERROR(INDEX(Parceiros!$E$5:$E$54,MATCH(H328,Parceiros!$A$5:$A$54,0)),0))</f>
        <v/>
      </c>
      <c r="N328" s="36">
        <f>IF(OR(H328="",I328="",K328="Cancelado"),0,I328*N(M328))</f>
        <v/>
      </c>
      <c r="O328" s="37">
        <f>IF(ISNUMBER(A328),MONTH(A328),"")</f>
        <v/>
      </c>
      <c r="P328" s="37">
        <f>IF(ISNUMBER(A328),YEAR(A328),"")</f>
        <v/>
      </c>
    </row>
    <row r="329">
      <c r="A329" s="32" t="n"/>
      <c r="B329" s="33" t="n"/>
      <c r="C329" s="33" t="n"/>
      <c r="D329" s="33" t="n"/>
      <c r="E329" s="33" t="n"/>
      <c r="F329" s="33" t="n"/>
      <c r="G329" s="33" t="n"/>
      <c r="H329" s="33" t="n"/>
      <c r="I329" s="34" t="n"/>
      <c r="J329" s="33" t="n"/>
      <c r="K329" s="33" t="n"/>
      <c r="L329" s="33" t="n"/>
      <c r="M329" s="35">
        <f>IF(H329="","",IFERROR(INDEX(Parceiros!$E$5:$E$54,MATCH(H329,Parceiros!$A$5:$A$54,0)),0))</f>
        <v/>
      </c>
      <c r="N329" s="36">
        <f>IF(OR(H329="",I329="",K329="Cancelado"),0,I329*N(M329))</f>
        <v/>
      </c>
      <c r="O329" s="37">
        <f>IF(ISNUMBER(A329),MONTH(A329),"")</f>
        <v/>
      </c>
      <c r="P329" s="37">
        <f>IF(ISNUMBER(A329),YEAR(A329),"")</f>
        <v/>
      </c>
    </row>
    <row r="330">
      <c r="A330" s="32" t="n"/>
      <c r="B330" s="33" t="n"/>
      <c r="C330" s="33" t="n"/>
      <c r="D330" s="33" t="n"/>
      <c r="E330" s="33" t="n"/>
      <c r="F330" s="33" t="n"/>
      <c r="G330" s="33" t="n"/>
      <c r="H330" s="33" t="n"/>
      <c r="I330" s="34" t="n"/>
      <c r="J330" s="33" t="n"/>
      <c r="K330" s="33" t="n"/>
      <c r="L330" s="33" t="n"/>
      <c r="M330" s="35">
        <f>IF(H330="","",IFERROR(INDEX(Parceiros!$E$5:$E$54,MATCH(H330,Parceiros!$A$5:$A$54,0)),0))</f>
        <v/>
      </c>
      <c r="N330" s="36">
        <f>IF(OR(H330="",I330="",K330="Cancelado"),0,I330*N(M330))</f>
        <v/>
      </c>
      <c r="O330" s="37">
        <f>IF(ISNUMBER(A330),MONTH(A330),"")</f>
        <v/>
      </c>
      <c r="P330" s="37">
        <f>IF(ISNUMBER(A330),YEAR(A330),"")</f>
        <v/>
      </c>
    </row>
    <row r="331">
      <c r="A331" s="32" t="n"/>
      <c r="B331" s="33" t="n"/>
      <c r="C331" s="33" t="n"/>
      <c r="D331" s="33" t="n"/>
      <c r="E331" s="33" t="n"/>
      <c r="F331" s="33" t="n"/>
      <c r="G331" s="33" t="n"/>
      <c r="H331" s="33" t="n"/>
      <c r="I331" s="34" t="n"/>
      <c r="J331" s="33" t="n"/>
      <c r="K331" s="33" t="n"/>
      <c r="L331" s="33" t="n"/>
      <c r="M331" s="35">
        <f>IF(H331="","",IFERROR(INDEX(Parceiros!$E$5:$E$54,MATCH(H331,Parceiros!$A$5:$A$54,0)),0))</f>
        <v/>
      </c>
      <c r="N331" s="36">
        <f>IF(OR(H331="",I331="",K331="Cancelado"),0,I331*N(M331))</f>
        <v/>
      </c>
      <c r="O331" s="37">
        <f>IF(ISNUMBER(A331),MONTH(A331),"")</f>
        <v/>
      </c>
      <c r="P331" s="37">
        <f>IF(ISNUMBER(A331),YEAR(A331),"")</f>
        <v/>
      </c>
    </row>
    <row r="332">
      <c r="A332" s="32" t="n"/>
      <c r="B332" s="33" t="n"/>
      <c r="C332" s="33" t="n"/>
      <c r="D332" s="33" t="n"/>
      <c r="E332" s="33" t="n"/>
      <c r="F332" s="33" t="n"/>
      <c r="G332" s="33" t="n"/>
      <c r="H332" s="33" t="n"/>
      <c r="I332" s="34" t="n"/>
      <c r="J332" s="33" t="n"/>
      <c r="K332" s="33" t="n"/>
      <c r="L332" s="33" t="n"/>
      <c r="M332" s="35">
        <f>IF(H332="","",IFERROR(INDEX(Parceiros!$E$5:$E$54,MATCH(H332,Parceiros!$A$5:$A$54,0)),0))</f>
        <v/>
      </c>
      <c r="N332" s="36">
        <f>IF(OR(H332="",I332="",K332="Cancelado"),0,I332*N(M332))</f>
        <v/>
      </c>
      <c r="O332" s="37">
        <f>IF(ISNUMBER(A332),MONTH(A332),"")</f>
        <v/>
      </c>
      <c r="P332" s="37">
        <f>IF(ISNUMBER(A332),YEAR(A332),"")</f>
        <v/>
      </c>
    </row>
    <row r="333">
      <c r="A333" s="32" t="n"/>
      <c r="B333" s="33" t="n"/>
      <c r="C333" s="33" t="n"/>
      <c r="D333" s="33" t="n"/>
      <c r="E333" s="33" t="n"/>
      <c r="F333" s="33" t="n"/>
      <c r="G333" s="33" t="n"/>
      <c r="H333" s="33" t="n"/>
      <c r="I333" s="34" t="n"/>
      <c r="J333" s="33" t="n"/>
      <c r="K333" s="33" t="n"/>
      <c r="L333" s="33" t="n"/>
      <c r="M333" s="35">
        <f>IF(H333="","",IFERROR(INDEX(Parceiros!$E$5:$E$54,MATCH(H333,Parceiros!$A$5:$A$54,0)),0))</f>
        <v/>
      </c>
      <c r="N333" s="36">
        <f>IF(OR(H333="",I333="",K333="Cancelado"),0,I333*N(M333))</f>
        <v/>
      </c>
      <c r="O333" s="37">
        <f>IF(ISNUMBER(A333),MONTH(A333),"")</f>
        <v/>
      </c>
      <c r="P333" s="37">
        <f>IF(ISNUMBER(A333),YEAR(A333),"")</f>
        <v/>
      </c>
    </row>
    <row r="334">
      <c r="A334" s="32" t="n"/>
      <c r="B334" s="33" t="n"/>
      <c r="C334" s="33" t="n"/>
      <c r="D334" s="33" t="n"/>
      <c r="E334" s="33" t="n"/>
      <c r="F334" s="33" t="n"/>
      <c r="G334" s="33" t="n"/>
      <c r="H334" s="33" t="n"/>
      <c r="I334" s="34" t="n"/>
      <c r="J334" s="33" t="n"/>
      <c r="K334" s="33" t="n"/>
      <c r="L334" s="33" t="n"/>
      <c r="M334" s="35">
        <f>IF(H334="","",IFERROR(INDEX(Parceiros!$E$5:$E$54,MATCH(H334,Parceiros!$A$5:$A$54,0)),0))</f>
        <v/>
      </c>
      <c r="N334" s="36">
        <f>IF(OR(H334="",I334="",K334="Cancelado"),0,I334*N(M334))</f>
        <v/>
      </c>
      <c r="O334" s="37">
        <f>IF(ISNUMBER(A334),MONTH(A334),"")</f>
        <v/>
      </c>
      <c r="P334" s="37">
        <f>IF(ISNUMBER(A334),YEAR(A334),"")</f>
        <v/>
      </c>
    </row>
    <row r="335">
      <c r="A335" s="32" t="n"/>
      <c r="B335" s="33" t="n"/>
      <c r="C335" s="33" t="n"/>
      <c r="D335" s="33" t="n"/>
      <c r="E335" s="33" t="n"/>
      <c r="F335" s="33" t="n"/>
      <c r="G335" s="33" t="n"/>
      <c r="H335" s="33" t="n"/>
      <c r="I335" s="34" t="n"/>
      <c r="J335" s="33" t="n"/>
      <c r="K335" s="33" t="n"/>
      <c r="L335" s="33" t="n"/>
      <c r="M335" s="35">
        <f>IF(H335="","",IFERROR(INDEX(Parceiros!$E$5:$E$54,MATCH(H335,Parceiros!$A$5:$A$54,0)),0))</f>
        <v/>
      </c>
      <c r="N335" s="36">
        <f>IF(OR(H335="",I335="",K335="Cancelado"),0,I335*N(M335))</f>
        <v/>
      </c>
      <c r="O335" s="37">
        <f>IF(ISNUMBER(A335),MONTH(A335),"")</f>
        <v/>
      </c>
      <c r="P335" s="37">
        <f>IF(ISNUMBER(A335),YEAR(A335),"")</f>
        <v/>
      </c>
    </row>
    <row r="336">
      <c r="A336" s="32" t="n"/>
      <c r="B336" s="33" t="n"/>
      <c r="C336" s="33" t="n"/>
      <c r="D336" s="33" t="n"/>
      <c r="E336" s="33" t="n"/>
      <c r="F336" s="33" t="n"/>
      <c r="G336" s="33" t="n"/>
      <c r="H336" s="33" t="n"/>
      <c r="I336" s="34" t="n"/>
      <c r="J336" s="33" t="n"/>
      <c r="K336" s="33" t="n"/>
      <c r="L336" s="33" t="n"/>
      <c r="M336" s="35">
        <f>IF(H336="","",IFERROR(INDEX(Parceiros!$E$5:$E$54,MATCH(H336,Parceiros!$A$5:$A$54,0)),0))</f>
        <v/>
      </c>
      <c r="N336" s="36">
        <f>IF(OR(H336="",I336="",K336="Cancelado"),0,I336*N(M336))</f>
        <v/>
      </c>
      <c r="O336" s="37">
        <f>IF(ISNUMBER(A336),MONTH(A336),"")</f>
        <v/>
      </c>
      <c r="P336" s="37">
        <f>IF(ISNUMBER(A336),YEAR(A336),"")</f>
        <v/>
      </c>
    </row>
    <row r="337">
      <c r="A337" s="32" t="n"/>
      <c r="B337" s="33" t="n"/>
      <c r="C337" s="33" t="n"/>
      <c r="D337" s="33" t="n"/>
      <c r="E337" s="33" t="n"/>
      <c r="F337" s="33" t="n"/>
      <c r="G337" s="33" t="n"/>
      <c r="H337" s="33" t="n"/>
      <c r="I337" s="34" t="n"/>
      <c r="J337" s="33" t="n"/>
      <c r="K337" s="33" t="n"/>
      <c r="L337" s="33" t="n"/>
      <c r="M337" s="35">
        <f>IF(H337="","",IFERROR(INDEX(Parceiros!$E$5:$E$54,MATCH(H337,Parceiros!$A$5:$A$54,0)),0))</f>
        <v/>
      </c>
      <c r="N337" s="36">
        <f>IF(OR(H337="",I337="",K337="Cancelado"),0,I337*N(M337))</f>
        <v/>
      </c>
      <c r="O337" s="37">
        <f>IF(ISNUMBER(A337),MONTH(A337),"")</f>
        <v/>
      </c>
      <c r="P337" s="37">
        <f>IF(ISNUMBER(A337),YEAR(A337),"")</f>
        <v/>
      </c>
    </row>
    <row r="338">
      <c r="A338" s="32" t="n"/>
      <c r="B338" s="33" t="n"/>
      <c r="C338" s="33" t="n"/>
      <c r="D338" s="33" t="n"/>
      <c r="E338" s="33" t="n"/>
      <c r="F338" s="33" t="n"/>
      <c r="G338" s="33" t="n"/>
      <c r="H338" s="33" t="n"/>
      <c r="I338" s="34" t="n"/>
      <c r="J338" s="33" t="n"/>
      <c r="K338" s="33" t="n"/>
      <c r="L338" s="33" t="n"/>
      <c r="M338" s="35">
        <f>IF(H338="","",IFERROR(INDEX(Parceiros!$E$5:$E$54,MATCH(H338,Parceiros!$A$5:$A$54,0)),0))</f>
        <v/>
      </c>
      <c r="N338" s="36">
        <f>IF(OR(H338="",I338="",K338="Cancelado"),0,I338*N(M338))</f>
        <v/>
      </c>
      <c r="O338" s="37">
        <f>IF(ISNUMBER(A338),MONTH(A338),"")</f>
        <v/>
      </c>
      <c r="P338" s="37">
        <f>IF(ISNUMBER(A338),YEAR(A338),"")</f>
        <v/>
      </c>
    </row>
    <row r="339">
      <c r="A339" s="32" t="n"/>
      <c r="B339" s="33" t="n"/>
      <c r="C339" s="33" t="n"/>
      <c r="D339" s="33" t="n"/>
      <c r="E339" s="33" t="n"/>
      <c r="F339" s="33" t="n"/>
      <c r="G339" s="33" t="n"/>
      <c r="H339" s="33" t="n"/>
      <c r="I339" s="34" t="n"/>
      <c r="J339" s="33" t="n"/>
      <c r="K339" s="33" t="n"/>
      <c r="L339" s="33" t="n"/>
      <c r="M339" s="35">
        <f>IF(H339="","",IFERROR(INDEX(Parceiros!$E$5:$E$54,MATCH(H339,Parceiros!$A$5:$A$54,0)),0))</f>
        <v/>
      </c>
      <c r="N339" s="36">
        <f>IF(OR(H339="",I339="",K339="Cancelado"),0,I339*N(M339))</f>
        <v/>
      </c>
      <c r="O339" s="37">
        <f>IF(ISNUMBER(A339),MONTH(A339),"")</f>
        <v/>
      </c>
      <c r="P339" s="37">
        <f>IF(ISNUMBER(A339),YEAR(A339),"")</f>
        <v/>
      </c>
    </row>
    <row r="340">
      <c r="A340" s="32" t="n"/>
      <c r="B340" s="33" t="n"/>
      <c r="C340" s="33" t="n"/>
      <c r="D340" s="33" t="n"/>
      <c r="E340" s="33" t="n"/>
      <c r="F340" s="33" t="n"/>
      <c r="G340" s="33" t="n"/>
      <c r="H340" s="33" t="n"/>
      <c r="I340" s="34" t="n"/>
      <c r="J340" s="33" t="n"/>
      <c r="K340" s="33" t="n"/>
      <c r="L340" s="33" t="n"/>
      <c r="M340" s="35">
        <f>IF(H340="","",IFERROR(INDEX(Parceiros!$E$5:$E$54,MATCH(H340,Parceiros!$A$5:$A$54,0)),0))</f>
        <v/>
      </c>
      <c r="N340" s="36">
        <f>IF(OR(H340="",I340="",K340="Cancelado"),0,I340*N(M340))</f>
        <v/>
      </c>
      <c r="O340" s="37">
        <f>IF(ISNUMBER(A340),MONTH(A340),"")</f>
        <v/>
      </c>
      <c r="P340" s="37">
        <f>IF(ISNUMBER(A340),YEAR(A340),"")</f>
        <v/>
      </c>
    </row>
    <row r="341">
      <c r="A341" s="32" t="n"/>
      <c r="B341" s="33" t="n"/>
      <c r="C341" s="33" t="n"/>
      <c r="D341" s="33" t="n"/>
      <c r="E341" s="33" t="n"/>
      <c r="F341" s="33" t="n"/>
      <c r="G341" s="33" t="n"/>
      <c r="H341" s="33" t="n"/>
      <c r="I341" s="34" t="n"/>
      <c r="J341" s="33" t="n"/>
      <c r="K341" s="33" t="n"/>
      <c r="L341" s="33" t="n"/>
      <c r="M341" s="35">
        <f>IF(H341="","",IFERROR(INDEX(Parceiros!$E$5:$E$54,MATCH(H341,Parceiros!$A$5:$A$54,0)),0))</f>
        <v/>
      </c>
      <c r="N341" s="36">
        <f>IF(OR(H341="",I341="",K341="Cancelado"),0,I341*N(M341))</f>
        <v/>
      </c>
      <c r="O341" s="37">
        <f>IF(ISNUMBER(A341),MONTH(A341),"")</f>
        <v/>
      </c>
      <c r="P341" s="37">
        <f>IF(ISNUMBER(A341),YEAR(A341),"")</f>
        <v/>
      </c>
    </row>
    <row r="342">
      <c r="A342" s="32" t="n"/>
      <c r="B342" s="33" t="n"/>
      <c r="C342" s="33" t="n"/>
      <c r="D342" s="33" t="n"/>
      <c r="E342" s="33" t="n"/>
      <c r="F342" s="33" t="n"/>
      <c r="G342" s="33" t="n"/>
      <c r="H342" s="33" t="n"/>
      <c r="I342" s="34" t="n"/>
      <c r="J342" s="33" t="n"/>
      <c r="K342" s="33" t="n"/>
      <c r="L342" s="33" t="n"/>
      <c r="M342" s="35">
        <f>IF(H342="","",IFERROR(INDEX(Parceiros!$E$5:$E$54,MATCH(H342,Parceiros!$A$5:$A$54,0)),0))</f>
        <v/>
      </c>
      <c r="N342" s="36">
        <f>IF(OR(H342="",I342="",K342="Cancelado"),0,I342*N(M342))</f>
        <v/>
      </c>
      <c r="O342" s="37">
        <f>IF(ISNUMBER(A342),MONTH(A342),"")</f>
        <v/>
      </c>
      <c r="P342" s="37">
        <f>IF(ISNUMBER(A342),YEAR(A342),"")</f>
        <v/>
      </c>
    </row>
    <row r="343">
      <c r="A343" s="32" t="n"/>
      <c r="B343" s="33" t="n"/>
      <c r="C343" s="33" t="n"/>
      <c r="D343" s="33" t="n"/>
      <c r="E343" s="33" t="n"/>
      <c r="F343" s="33" t="n"/>
      <c r="G343" s="33" t="n"/>
      <c r="H343" s="33" t="n"/>
      <c r="I343" s="34" t="n"/>
      <c r="J343" s="33" t="n"/>
      <c r="K343" s="33" t="n"/>
      <c r="L343" s="33" t="n"/>
      <c r="M343" s="35">
        <f>IF(H343="","",IFERROR(INDEX(Parceiros!$E$5:$E$54,MATCH(H343,Parceiros!$A$5:$A$54,0)),0))</f>
        <v/>
      </c>
      <c r="N343" s="36">
        <f>IF(OR(H343="",I343="",K343="Cancelado"),0,I343*N(M343))</f>
        <v/>
      </c>
      <c r="O343" s="37">
        <f>IF(ISNUMBER(A343),MONTH(A343),"")</f>
        <v/>
      </c>
      <c r="P343" s="37">
        <f>IF(ISNUMBER(A343),YEAR(A343),"")</f>
        <v/>
      </c>
    </row>
    <row r="344">
      <c r="A344" s="32" t="n"/>
      <c r="B344" s="33" t="n"/>
      <c r="C344" s="33" t="n"/>
      <c r="D344" s="33" t="n"/>
      <c r="E344" s="33" t="n"/>
      <c r="F344" s="33" t="n"/>
      <c r="G344" s="33" t="n"/>
      <c r="H344" s="33" t="n"/>
      <c r="I344" s="34" t="n"/>
      <c r="J344" s="33" t="n"/>
      <c r="K344" s="33" t="n"/>
      <c r="L344" s="33" t="n"/>
      <c r="M344" s="35">
        <f>IF(H344="","",IFERROR(INDEX(Parceiros!$E$5:$E$54,MATCH(H344,Parceiros!$A$5:$A$54,0)),0))</f>
        <v/>
      </c>
      <c r="N344" s="36">
        <f>IF(OR(H344="",I344="",K344="Cancelado"),0,I344*N(M344))</f>
        <v/>
      </c>
      <c r="O344" s="37">
        <f>IF(ISNUMBER(A344),MONTH(A344),"")</f>
        <v/>
      </c>
      <c r="P344" s="37">
        <f>IF(ISNUMBER(A344),YEAR(A344),"")</f>
        <v/>
      </c>
    </row>
    <row r="345">
      <c r="A345" s="32" t="n"/>
      <c r="B345" s="33" t="n"/>
      <c r="C345" s="33" t="n"/>
      <c r="D345" s="33" t="n"/>
      <c r="E345" s="33" t="n"/>
      <c r="F345" s="33" t="n"/>
      <c r="G345" s="33" t="n"/>
      <c r="H345" s="33" t="n"/>
      <c r="I345" s="34" t="n"/>
      <c r="J345" s="33" t="n"/>
      <c r="K345" s="33" t="n"/>
      <c r="L345" s="33" t="n"/>
      <c r="M345" s="35">
        <f>IF(H345="","",IFERROR(INDEX(Parceiros!$E$5:$E$54,MATCH(H345,Parceiros!$A$5:$A$54,0)),0))</f>
        <v/>
      </c>
      <c r="N345" s="36">
        <f>IF(OR(H345="",I345="",K345="Cancelado"),0,I345*N(M345))</f>
        <v/>
      </c>
      <c r="O345" s="37">
        <f>IF(ISNUMBER(A345),MONTH(A345),"")</f>
        <v/>
      </c>
      <c r="P345" s="37">
        <f>IF(ISNUMBER(A345),YEAR(A345),"")</f>
        <v/>
      </c>
    </row>
    <row r="346">
      <c r="A346" s="32" t="n"/>
      <c r="B346" s="33" t="n"/>
      <c r="C346" s="33" t="n"/>
      <c r="D346" s="33" t="n"/>
      <c r="E346" s="33" t="n"/>
      <c r="F346" s="33" t="n"/>
      <c r="G346" s="33" t="n"/>
      <c r="H346" s="33" t="n"/>
      <c r="I346" s="34" t="n"/>
      <c r="J346" s="33" t="n"/>
      <c r="K346" s="33" t="n"/>
      <c r="L346" s="33" t="n"/>
      <c r="M346" s="35">
        <f>IF(H346="","",IFERROR(INDEX(Parceiros!$E$5:$E$54,MATCH(H346,Parceiros!$A$5:$A$54,0)),0))</f>
        <v/>
      </c>
      <c r="N346" s="36">
        <f>IF(OR(H346="",I346="",K346="Cancelado"),0,I346*N(M346))</f>
        <v/>
      </c>
      <c r="O346" s="37">
        <f>IF(ISNUMBER(A346),MONTH(A346),"")</f>
        <v/>
      </c>
      <c r="P346" s="37">
        <f>IF(ISNUMBER(A346),YEAR(A346),"")</f>
        <v/>
      </c>
    </row>
    <row r="347">
      <c r="A347" s="32" t="n"/>
      <c r="B347" s="33" t="n"/>
      <c r="C347" s="33" t="n"/>
      <c r="D347" s="33" t="n"/>
      <c r="E347" s="33" t="n"/>
      <c r="F347" s="33" t="n"/>
      <c r="G347" s="33" t="n"/>
      <c r="H347" s="33" t="n"/>
      <c r="I347" s="34" t="n"/>
      <c r="J347" s="33" t="n"/>
      <c r="K347" s="33" t="n"/>
      <c r="L347" s="33" t="n"/>
      <c r="M347" s="35">
        <f>IF(H347="","",IFERROR(INDEX(Parceiros!$E$5:$E$54,MATCH(H347,Parceiros!$A$5:$A$54,0)),0))</f>
        <v/>
      </c>
      <c r="N347" s="36">
        <f>IF(OR(H347="",I347="",K347="Cancelado"),0,I347*N(M347))</f>
        <v/>
      </c>
      <c r="O347" s="37">
        <f>IF(ISNUMBER(A347),MONTH(A347),"")</f>
        <v/>
      </c>
      <c r="P347" s="37">
        <f>IF(ISNUMBER(A347),YEAR(A347),"")</f>
        <v/>
      </c>
    </row>
    <row r="348">
      <c r="A348" s="32" t="n"/>
      <c r="B348" s="33" t="n"/>
      <c r="C348" s="33" t="n"/>
      <c r="D348" s="33" t="n"/>
      <c r="E348" s="33" t="n"/>
      <c r="F348" s="33" t="n"/>
      <c r="G348" s="33" t="n"/>
      <c r="H348" s="33" t="n"/>
      <c r="I348" s="34" t="n"/>
      <c r="J348" s="33" t="n"/>
      <c r="K348" s="33" t="n"/>
      <c r="L348" s="33" t="n"/>
      <c r="M348" s="35">
        <f>IF(H348="","",IFERROR(INDEX(Parceiros!$E$5:$E$54,MATCH(H348,Parceiros!$A$5:$A$54,0)),0))</f>
        <v/>
      </c>
      <c r="N348" s="36">
        <f>IF(OR(H348="",I348="",K348="Cancelado"),0,I348*N(M348))</f>
        <v/>
      </c>
      <c r="O348" s="37">
        <f>IF(ISNUMBER(A348),MONTH(A348),"")</f>
        <v/>
      </c>
      <c r="P348" s="37">
        <f>IF(ISNUMBER(A348),YEAR(A348),"")</f>
        <v/>
      </c>
    </row>
    <row r="349">
      <c r="A349" s="32" t="n"/>
      <c r="B349" s="33" t="n"/>
      <c r="C349" s="33" t="n"/>
      <c r="D349" s="33" t="n"/>
      <c r="E349" s="33" t="n"/>
      <c r="F349" s="33" t="n"/>
      <c r="G349" s="33" t="n"/>
      <c r="H349" s="33" t="n"/>
      <c r="I349" s="34" t="n"/>
      <c r="J349" s="33" t="n"/>
      <c r="K349" s="33" t="n"/>
      <c r="L349" s="33" t="n"/>
      <c r="M349" s="35">
        <f>IF(H349="","",IFERROR(INDEX(Parceiros!$E$5:$E$54,MATCH(H349,Parceiros!$A$5:$A$54,0)),0))</f>
        <v/>
      </c>
      <c r="N349" s="36">
        <f>IF(OR(H349="",I349="",K349="Cancelado"),0,I349*N(M349))</f>
        <v/>
      </c>
      <c r="O349" s="37">
        <f>IF(ISNUMBER(A349),MONTH(A349),"")</f>
        <v/>
      </c>
      <c r="P349" s="37">
        <f>IF(ISNUMBER(A349),YEAR(A349),"")</f>
        <v/>
      </c>
    </row>
    <row r="350">
      <c r="A350" s="32" t="n"/>
      <c r="B350" s="33" t="n"/>
      <c r="C350" s="33" t="n"/>
      <c r="D350" s="33" t="n"/>
      <c r="E350" s="33" t="n"/>
      <c r="F350" s="33" t="n"/>
      <c r="G350" s="33" t="n"/>
      <c r="H350" s="33" t="n"/>
      <c r="I350" s="34" t="n"/>
      <c r="J350" s="33" t="n"/>
      <c r="K350" s="33" t="n"/>
      <c r="L350" s="33" t="n"/>
      <c r="M350" s="35">
        <f>IF(H350="","",IFERROR(INDEX(Parceiros!$E$5:$E$54,MATCH(H350,Parceiros!$A$5:$A$54,0)),0))</f>
        <v/>
      </c>
      <c r="N350" s="36">
        <f>IF(OR(H350="",I350="",K350="Cancelado"),0,I350*N(M350))</f>
        <v/>
      </c>
      <c r="O350" s="37">
        <f>IF(ISNUMBER(A350),MONTH(A350),"")</f>
        <v/>
      </c>
      <c r="P350" s="37">
        <f>IF(ISNUMBER(A350),YEAR(A350),"")</f>
        <v/>
      </c>
    </row>
    <row r="351">
      <c r="A351" s="32" t="n"/>
      <c r="B351" s="33" t="n"/>
      <c r="C351" s="33" t="n"/>
      <c r="D351" s="33" t="n"/>
      <c r="E351" s="33" t="n"/>
      <c r="F351" s="33" t="n"/>
      <c r="G351" s="33" t="n"/>
      <c r="H351" s="33" t="n"/>
      <c r="I351" s="34" t="n"/>
      <c r="J351" s="33" t="n"/>
      <c r="K351" s="33" t="n"/>
      <c r="L351" s="33" t="n"/>
      <c r="M351" s="35">
        <f>IF(H351="","",IFERROR(INDEX(Parceiros!$E$5:$E$54,MATCH(H351,Parceiros!$A$5:$A$54,0)),0))</f>
        <v/>
      </c>
      <c r="N351" s="36">
        <f>IF(OR(H351="",I351="",K351="Cancelado"),0,I351*N(M351))</f>
        <v/>
      </c>
      <c r="O351" s="37">
        <f>IF(ISNUMBER(A351),MONTH(A351),"")</f>
        <v/>
      </c>
      <c r="P351" s="37">
        <f>IF(ISNUMBER(A351),YEAR(A351),"")</f>
        <v/>
      </c>
    </row>
    <row r="352">
      <c r="A352" s="32" t="n"/>
      <c r="B352" s="33" t="n"/>
      <c r="C352" s="33" t="n"/>
      <c r="D352" s="33" t="n"/>
      <c r="E352" s="33" t="n"/>
      <c r="F352" s="33" t="n"/>
      <c r="G352" s="33" t="n"/>
      <c r="H352" s="33" t="n"/>
      <c r="I352" s="34" t="n"/>
      <c r="J352" s="33" t="n"/>
      <c r="K352" s="33" t="n"/>
      <c r="L352" s="33" t="n"/>
      <c r="M352" s="35">
        <f>IF(H352="","",IFERROR(INDEX(Parceiros!$E$5:$E$54,MATCH(H352,Parceiros!$A$5:$A$54,0)),0))</f>
        <v/>
      </c>
      <c r="N352" s="36">
        <f>IF(OR(H352="",I352="",K352="Cancelado"),0,I352*N(M352))</f>
        <v/>
      </c>
      <c r="O352" s="37">
        <f>IF(ISNUMBER(A352),MONTH(A352),"")</f>
        <v/>
      </c>
      <c r="P352" s="37">
        <f>IF(ISNUMBER(A352),YEAR(A352),"")</f>
        <v/>
      </c>
    </row>
    <row r="353">
      <c r="A353" s="32" t="n"/>
      <c r="B353" s="33" t="n"/>
      <c r="C353" s="33" t="n"/>
      <c r="D353" s="33" t="n"/>
      <c r="E353" s="33" t="n"/>
      <c r="F353" s="33" t="n"/>
      <c r="G353" s="33" t="n"/>
      <c r="H353" s="33" t="n"/>
      <c r="I353" s="34" t="n"/>
      <c r="J353" s="33" t="n"/>
      <c r="K353" s="33" t="n"/>
      <c r="L353" s="33" t="n"/>
      <c r="M353" s="35">
        <f>IF(H353="","",IFERROR(INDEX(Parceiros!$E$5:$E$54,MATCH(H353,Parceiros!$A$5:$A$54,0)),0))</f>
        <v/>
      </c>
      <c r="N353" s="36">
        <f>IF(OR(H353="",I353="",K353="Cancelado"),0,I353*N(M353))</f>
        <v/>
      </c>
      <c r="O353" s="37">
        <f>IF(ISNUMBER(A353),MONTH(A353),"")</f>
        <v/>
      </c>
      <c r="P353" s="37">
        <f>IF(ISNUMBER(A353),YEAR(A353),"")</f>
        <v/>
      </c>
    </row>
    <row r="354">
      <c r="A354" s="32" t="n"/>
      <c r="B354" s="33" t="n"/>
      <c r="C354" s="33" t="n"/>
      <c r="D354" s="33" t="n"/>
      <c r="E354" s="33" t="n"/>
      <c r="F354" s="33" t="n"/>
      <c r="G354" s="33" t="n"/>
      <c r="H354" s="33" t="n"/>
      <c r="I354" s="34" t="n"/>
      <c r="J354" s="33" t="n"/>
      <c r="K354" s="33" t="n"/>
      <c r="L354" s="33" t="n"/>
      <c r="M354" s="35">
        <f>IF(H354="","",IFERROR(INDEX(Parceiros!$E$5:$E$54,MATCH(H354,Parceiros!$A$5:$A$54,0)),0))</f>
        <v/>
      </c>
      <c r="N354" s="36">
        <f>IF(OR(H354="",I354="",K354="Cancelado"),0,I354*N(M354))</f>
        <v/>
      </c>
      <c r="O354" s="37">
        <f>IF(ISNUMBER(A354),MONTH(A354),"")</f>
        <v/>
      </c>
      <c r="P354" s="37">
        <f>IF(ISNUMBER(A354),YEAR(A354),"")</f>
        <v/>
      </c>
    </row>
    <row r="355">
      <c r="A355" s="32" t="n"/>
      <c r="B355" s="33" t="n"/>
      <c r="C355" s="33" t="n"/>
      <c r="D355" s="33" t="n"/>
      <c r="E355" s="33" t="n"/>
      <c r="F355" s="33" t="n"/>
      <c r="G355" s="33" t="n"/>
      <c r="H355" s="33" t="n"/>
      <c r="I355" s="34" t="n"/>
      <c r="J355" s="33" t="n"/>
      <c r="K355" s="33" t="n"/>
      <c r="L355" s="33" t="n"/>
      <c r="M355" s="35">
        <f>IF(H355="","",IFERROR(INDEX(Parceiros!$E$5:$E$54,MATCH(H355,Parceiros!$A$5:$A$54,0)),0))</f>
        <v/>
      </c>
      <c r="N355" s="36">
        <f>IF(OR(H355="",I355="",K355="Cancelado"),0,I355*N(M355))</f>
        <v/>
      </c>
      <c r="O355" s="37">
        <f>IF(ISNUMBER(A355),MONTH(A355),"")</f>
        <v/>
      </c>
      <c r="P355" s="37">
        <f>IF(ISNUMBER(A355),YEAR(A355),"")</f>
        <v/>
      </c>
    </row>
    <row r="356">
      <c r="A356" s="32" t="n"/>
      <c r="B356" s="33" t="n"/>
      <c r="C356" s="33" t="n"/>
      <c r="D356" s="33" t="n"/>
      <c r="E356" s="33" t="n"/>
      <c r="F356" s="33" t="n"/>
      <c r="G356" s="33" t="n"/>
      <c r="H356" s="33" t="n"/>
      <c r="I356" s="34" t="n"/>
      <c r="J356" s="33" t="n"/>
      <c r="K356" s="33" t="n"/>
      <c r="L356" s="33" t="n"/>
      <c r="M356" s="35">
        <f>IF(H356="","",IFERROR(INDEX(Parceiros!$E$5:$E$54,MATCH(H356,Parceiros!$A$5:$A$54,0)),0))</f>
        <v/>
      </c>
      <c r="N356" s="36">
        <f>IF(OR(H356="",I356="",K356="Cancelado"),0,I356*N(M356))</f>
        <v/>
      </c>
      <c r="O356" s="37">
        <f>IF(ISNUMBER(A356),MONTH(A356),"")</f>
        <v/>
      </c>
      <c r="P356" s="37">
        <f>IF(ISNUMBER(A356),YEAR(A356),"")</f>
        <v/>
      </c>
    </row>
    <row r="357">
      <c r="A357" s="32" t="n"/>
      <c r="B357" s="33" t="n"/>
      <c r="C357" s="33" t="n"/>
      <c r="D357" s="33" t="n"/>
      <c r="E357" s="33" t="n"/>
      <c r="F357" s="33" t="n"/>
      <c r="G357" s="33" t="n"/>
      <c r="H357" s="33" t="n"/>
      <c r="I357" s="34" t="n"/>
      <c r="J357" s="33" t="n"/>
      <c r="K357" s="33" t="n"/>
      <c r="L357" s="33" t="n"/>
      <c r="M357" s="35">
        <f>IF(H357="","",IFERROR(INDEX(Parceiros!$E$5:$E$54,MATCH(H357,Parceiros!$A$5:$A$54,0)),0))</f>
        <v/>
      </c>
      <c r="N357" s="36">
        <f>IF(OR(H357="",I357="",K357="Cancelado"),0,I357*N(M357))</f>
        <v/>
      </c>
      <c r="O357" s="37">
        <f>IF(ISNUMBER(A357),MONTH(A357),"")</f>
        <v/>
      </c>
      <c r="P357" s="37">
        <f>IF(ISNUMBER(A357),YEAR(A357),"")</f>
        <v/>
      </c>
    </row>
    <row r="358">
      <c r="A358" s="32" t="n"/>
      <c r="B358" s="33" t="n"/>
      <c r="C358" s="33" t="n"/>
      <c r="D358" s="33" t="n"/>
      <c r="E358" s="33" t="n"/>
      <c r="F358" s="33" t="n"/>
      <c r="G358" s="33" t="n"/>
      <c r="H358" s="33" t="n"/>
      <c r="I358" s="34" t="n"/>
      <c r="J358" s="33" t="n"/>
      <c r="K358" s="33" t="n"/>
      <c r="L358" s="33" t="n"/>
      <c r="M358" s="35">
        <f>IF(H358="","",IFERROR(INDEX(Parceiros!$E$5:$E$54,MATCH(H358,Parceiros!$A$5:$A$54,0)),0))</f>
        <v/>
      </c>
      <c r="N358" s="36">
        <f>IF(OR(H358="",I358="",K358="Cancelado"),0,I358*N(M358))</f>
        <v/>
      </c>
      <c r="O358" s="37">
        <f>IF(ISNUMBER(A358),MONTH(A358),"")</f>
        <v/>
      </c>
      <c r="P358" s="37">
        <f>IF(ISNUMBER(A358),YEAR(A358),"")</f>
        <v/>
      </c>
    </row>
    <row r="359">
      <c r="A359" s="32" t="n"/>
      <c r="B359" s="33" t="n"/>
      <c r="C359" s="33" t="n"/>
      <c r="D359" s="33" t="n"/>
      <c r="E359" s="33" t="n"/>
      <c r="F359" s="33" t="n"/>
      <c r="G359" s="33" t="n"/>
      <c r="H359" s="33" t="n"/>
      <c r="I359" s="34" t="n"/>
      <c r="J359" s="33" t="n"/>
      <c r="K359" s="33" t="n"/>
      <c r="L359" s="33" t="n"/>
      <c r="M359" s="35">
        <f>IF(H359="","",IFERROR(INDEX(Parceiros!$E$5:$E$54,MATCH(H359,Parceiros!$A$5:$A$54,0)),0))</f>
        <v/>
      </c>
      <c r="N359" s="36">
        <f>IF(OR(H359="",I359="",K359="Cancelado"),0,I359*N(M359))</f>
        <v/>
      </c>
      <c r="O359" s="37">
        <f>IF(ISNUMBER(A359),MONTH(A359),"")</f>
        <v/>
      </c>
      <c r="P359" s="37">
        <f>IF(ISNUMBER(A359),YEAR(A359),"")</f>
        <v/>
      </c>
    </row>
    <row r="360">
      <c r="A360" s="32" t="n"/>
      <c r="B360" s="33" t="n"/>
      <c r="C360" s="33" t="n"/>
      <c r="D360" s="33" t="n"/>
      <c r="E360" s="33" t="n"/>
      <c r="F360" s="33" t="n"/>
      <c r="G360" s="33" t="n"/>
      <c r="H360" s="33" t="n"/>
      <c r="I360" s="34" t="n"/>
      <c r="J360" s="33" t="n"/>
      <c r="K360" s="33" t="n"/>
      <c r="L360" s="33" t="n"/>
      <c r="M360" s="35">
        <f>IF(H360="","",IFERROR(INDEX(Parceiros!$E$5:$E$54,MATCH(H360,Parceiros!$A$5:$A$54,0)),0))</f>
        <v/>
      </c>
      <c r="N360" s="36">
        <f>IF(OR(H360="",I360="",K360="Cancelado"),0,I360*N(M360))</f>
        <v/>
      </c>
      <c r="O360" s="37">
        <f>IF(ISNUMBER(A360),MONTH(A360),"")</f>
        <v/>
      </c>
      <c r="P360" s="37">
        <f>IF(ISNUMBER(A360),YEAR(A360),"")</f>
        <v/>
      </c>
    </row>
    <row r="361">
      <c r="A361" s="32" t="n"/>
      <c r="B361" s="33" t="n"/>
      <c r="C361" s="33" t="n"/>
      <c r="D361" s="33" t="n"/>
      <c r="E361" s="33" t="n"/>
      <c r="F361" s="33" t="n"/>
      <c r="G361" s="33" t="n"/>
      <c r="H361" s="33" t="n"/>
      <c r="I361" s="34" t="n"/>
      <c r="J361" s="33" t="n"/>
      <c r="K361" s="33" t="n"/>
      <c r="L361" s="33" t="n"/>
      <c r="M361" s="35">
        <f>IF(H361="","",IFERROR(INDEX(Parceiros!$E$5:$E$54,MATCH(H361,Parceiros!$A$5:$A$54,0)),0))</f>
        <v/>
      </c>
      <c r="N361" s="36">
        <f>IF(OR(H361="",I361="",K361="Cancelado"),0,I361*N(M361))</f>
        <v/>
      </c>
      <c r="O361" s="37">
        <f>IF(ISNUMBER(A361),MONTH(A361),"")</f>
        <v/>
      </c>
      <c r="P361" s="37">
        <f>IF(ISNUMBER(A361),YEAR(A361),"")</f>
        <v/>
      </c>
    </row>
    <row r="362">
      <c r="A362" s="32" t="n"/>
      <c r="B362" s="33" t="n"/>
      <c r="C362" s="33" t="n"/>
      <c r="D362" s="33" t="n"/>
      <c r="E362" s="33" t="n"/>
      <c r="F362" s="33" t="n"/>
      <c r="G362" s="33" t="n"/>
      <c r="H362" s="33" t="n"/>
      <c r="I362" s="34" t="n"/>
      <c r="J362" s="33" t="n"/>
      <c r="K362" s="33" t="n"/>
      <c r="L362" s="33" t="n"/>
      <c r="M362" s="35">
        <f>IF(H362="","",IFERROR(INDEX(Parceiros!$E$5:$E$54,MATCH(H362,Parceiros!$A$5:$A$54,0)),0))</f>
        <v/>
      </c>
      <c r="N362" s="36">
        <f>IF(OR(H362="",I362="",K362="Cancelado"),0,I362*N(M362))</f>
        <v/>
      </c>
      <c r="O362" s="37">
        <f>IF(ISNUMBER(A362),MONTH(A362),"")</f>
        <v/>
      </c>
      <c r="P362" s="37">
        <f>IF(ISNUMBER(A362),YEAR(A362),"")</f>
        <v/>
      </c>
    </row>
    <row r="363">
      <c r="A363" s="32" t="n"/>
      <c r="B363" s="33" t="n"/>
      <c r="C363" s="33" t="n"/>
      <c r="D363" s="33" t="n"/>
      <c r="E363" s="33" t="n"/>
      <c r="F363" s="33" t="n"/>
      <c r="G363" s="33" t="n"/>
      <c r="H363" s="33" t="n"/>
      <c r="I363" s="34" t="n"/>
      <c r="J363" s="33" t="n"/>
      <c r="K363" s="33" t="n"/>
      <c r="L363" s="33" t="n"/>
      <c r="M363" s="35">
        <f>IF(H363="","",IFERROR(INDEX(Parceiros!$E$5:$E$54,MATCH(H363,Parceiros!$A$5:$A$54,0)),0))</f>
        <v/>
      </c>
      <c r="N363" s="36">
        <f>IF(OR(H363="",I363="",K363="Cancelado"),0,I363*N(M363))</f>
        <v/>
      </c>
      <c r="O363" s="37">
        <f>IF(ISNUMBER(A363),MONTH(A363),"")</f>
        <v/>
      </c>
      <c r="P363" s="37">
        <f>IF(ISNUMBER(A363),YEAR(A363),"")</f>
        <v/>
      </c>
    </row>
    <row r="364">
      <c r="A364" s="32" t="n"/>
      <c r="B364" s="33" t="n"/>
      <c r="C364" s="33" t="n"/>
      <c r="D364" s="33" t="n"/>
      <c r="E364" s="33" t="n"/>
      <c r="F364" s="33" t="n"/>
      <c r="G364" s="33" t="n"/>
      <c r="H364" s="33" t="n"/>
      <c r="I364" s="34" t="n"/>
      <c r="J364" s="33" t="n"/>
      <c r="K364" s="33" t="n"/>
      <c r="L364" s="33" t="n"/>
      <c r="M364" s="35">
        <f>IF(H364="","",IFERROR(INDEX(Parceiros!$E$5:$E$54,MATCH(H364,Parceiros!$A$5:$A$54,0)),0))</f>
        <v/>
      </c>
      <c r="N364" s="36">
        <f>IF(OR(H364="",I364="",K364="Cancelado"),0,I364*N(M364))</f>
        <v/>
      </c>
      <c r="O364" s="37">
        <f>IF(ISNUMBER(A364),MONTH(A364),"")</f>
        <v/>
      </c>
      <c r="P364" s="37">
        <f>IF(ISNUMBER(A364),YEAR(A364),"")</f>
        <v/>
      </c>
    </row>
    <row r="365">
      <c r="A365" s="32" t="n"/>
      <c r="B365" s="33" t="n"/>
      <c r="C365" s="33" t="n"/>
      <c r="D365" s="33" t="n"/>
      <c r="E365" s="33" t="n"/>
      <c r="F365" s="33" t="n"/>
      <c r="G365" s="33" t="n"/>
      <c r="H365" s="33" t="n"/>
      <c r="I365" s="34" t="n"/>
      <c r="J365" s="33" t="n"/>
      <c r="K365" s="33" t="n"/>
      <c r="L365" s="33" t="n"/>
      <c r="M365" s="35">
        <f>IF(H365="","",IFERROR(INDEX(Parceiros!$E$5:$E$54,MATCH(H365,Parceiros!$A$5:$A$54,0)),0))</f>
        <v/>
      </c>
      <c r="N365" s="36">
        <f>IF(OR(H365="",I365="",K365="Cancelado"),0,I365*N(M365))</f>
        <v/>
      </c>
      <c r="O365" s="37">
        <f>IF(ISNUMBER(A365),MONTH(A365),"")</f>
        <v/>
      </c>
      <c r="P365" s="37">
        <f>IF(ISNUMBER(A365),YEAR(A365),"")</f>
        <v/>
      </c>
    </row>
    <row r="366">
      <c r="A366" s="32" t="n"/>
      <c r="B366" s="33" t="n"/>
      <c r="C366" s="33" t="n"/>
      <c r="D366" s="33" t="n"/>
      <c r="E366" s="33" t="n"/>
      <c r="F366" s="33" t="n"/>
      <c r="G366" s="33" t="n"/>
      <c r="H366" s="33" t="n"/>
      <c r="I366" s="34" t="n"/>
      <c r="J366" s="33" t="n"/>
      <c r="K366" s="33" t="n"/>
      <c r="L366" s="33" t="n"/>
      <c r="M366" s="35">
        <f>IF(H366="","",IFERROR(INDEX(Parceiros!$E$5:$E$54,MATCH(H366,Parceiros!$A$5:$A$54,0)),0))</f>
        <v/>
      </c>
      <c r="N366" s="36">
        <f>IF(OR(H366="",I366="",K366="Cancelado"),0,I366*N(M366))</f>
        <v/>
      </c>
      <c r="O366" s="37">
        <f>IF(ISNUMBER(A366),MONTH(A366),"")</f>
        <v/>
      </c>
      <c r="P366" s="37">
        <f>IF(ISNUMBER(A366),YEAR(A366),"")</f>
        <v/>
      </c>
    </row>
    <row r="367">
      <c r="A367" s="32" t="n"/>
      <c r="B367" s="33" t="n"/>
      <c r="C367" s="33" t="n"/>
      <c r="D367" s="33" t="n"/>
      <c r="E367" s="33" t="n"/>
      <c r="F367" s="33" t="n"/>
      <c r="G367" s="33" t="n"/>
      <c r="H367" s="33" t="n"/>
      <c r="I367" s="34" t="n"/>
      <c r="J367" s="33" t="n"/>
      <c r="K367" s="33" t="n"/>
      <c r="L367" s="33" t="n"/>
      <c r="M367" s="35">
        <f>IF(H367="","",IFERROR(INDEX(Parceiros!$E$5:$E$54,MATCH(H367,Parceiros!$A$5:$A$54,0)),0))</f>
        <v/>
      </c>
      <c r="N367" s="36">
        <f>IF(OR(H367="",I367="",K367="Cancelado"),0,I367*N(M367))</f>
        <v/>
      </c>
      <c r="O367" s="37">
        <f>IF(ISNUMBER(A367),MONTH(A367),"")</f>
        <v/>
      </c>
      <c r="P367" s="37">
        <f>IF(ISNUMBER(A367),YEAR(A367),"")</f>
        <v/>
      </c>
    </row>
    <row r="368">
      <c r="A368" s="32" t="n"/>
      <c r="B368" s="33" t="n"/>
      <c r="C368" s="33" t="n"/>
      <c r="D368" s="33" t="n"/>
      <c r="E368" s="33" t="n"/>
      <c r="F368" s="33" t="n"/>
      <c r="G368" s="33" t="n"/>
      <c r="H368" s="33" t="n"/>
      <c r="I368" s="34" t="n"/>
      <c r="J368" s="33" t="n"/>
      <c r="K368" s="33" t="n"/>
      <c r="L368" s="33" t="n"/>
      <c r="M368" s="35">
        <f>IF(H368="","",IFERROR(INDEX(Parceiros!$E$5:$E$54,MATCH(H368,Parceiros!$A$5:$A$54,0)),0))</f>
        <v/>
      </c>
      <c r="N368" s="36">
        <f>IF(OR(H368="",I368="",K368="Cancelado"),0,I368*N(M368))</f>
        <v/>
      </c>
      <c r="O368" s="37">
        <f>IF(ISNUMBER(A368),MONTH(A368),"")</f>
        <v/>
      </c>
      <c r="P368" s="37">
        <f>IF(ISNUMBER(A368),YEAR(A368),"")</f>
        <v/>
      </c>
    </row>
    <row r="369">
      <c r="A369" s="32" t="n"/>
      <c r="B369" s="33" t="n"/>
      <c r="C369" s="33" t="n"/>
      <c r="D369" s="33" t="n"/>
      <c r="E369" s="33" t="n"/>
      <c r="F369" s="33" t="n"/>
      <c r="G369" s="33" t="n"/>
      <c r="H369" s="33" t="n"/>
      <c r="I369" s="34" t="n"/>
      <c r="J369" s="33" t="n"/>
      <c r="K369" s="33" t="n"/>
      <c r="L369" s="33" t="n"/>
      <c r="M369" s="35">
        <f>IF(H369="","",IFERROR(INDEX(Parceiros!$E$5:$E$54,MATCH(H369,Parceiros!$A$5:$A$54,0)),0))</f>
        <v/>
      </c>
      <c r="N369" s="36">
        <f>IF(OR(H369="",I369="",K369="Cancelado"),0,I369*N(M369))</f>
        <v/>
      </c>
      <c r="O369" s="37">
        <f>IF(ISNUMBER(A369),MONTH(A369),"")</f>
        <v/>
      </c>
      <c r="P369" s="37">
        <f>IF(ISNUMBER(A369),YEAR(A369),"")</f>
        <v/>
      </c>
    </row>
    <row r="370">
      <c r="A370" s="32" t="n"/>
      <c r="B370" s="33" t="n"/>
      <c r="C370" s="33" t="n"/>
      <c r="D370" s="33" t="n"/>
      <c r="E370" s="33" t="n"/>
      <c r="F370" s="33" t="n"/>
      <c r="G370" s="33" t="n"/>
      <c r="H370" s="33" t="n"/>
      <c r="I370" s="34" t="n"/>
      <c r="J370" s="33" t="n"/>
      <c r="K370" s="33" t="n"/>
      <c r="L370" s="33" t="n"/>
      <c r="M370" s="35">
        <f>IF(H370="","",IFERROR(INDEX(Parceiros!$E$5:$E$54,MATCH(H370,Parceiros!$A$5:$A$54,0)),0))</f>
        <v/>
      </c>
      <c r="N370" s="36">
        <f>IF(OR(H370="",I370="",K370="Cancelado"),0,I370*N(M370))</f>
        <v/>
      </c>
      <c r="O370" s="37">
        <f>IF(ISNUMBER(A370),MONTH(A370),"")</f>
        <v/>
      </c>
      <c r="P370" s="37">
        <f>IF(ISNUMBER(A370),YEAR(A370),"")</f>
        <v/>
      </c>
    </row>
    <row r="371">
      <c r="A371" s="32" t="n"/>
      <c r="B371" s="33" t="n"/>
      <c r="C371" s="33" t="n"/>
      <c r="D371" s="33" t="n"/>
      <c r="E371" s="33" t="n"/>
      <c r="F371" s="33" t="n"/>
      <c r="G371" s="33" t="n"/>
      <c r="H371" s="33" t="n"/>
      <c r="I371" s="34" t="n"/>
      <c r="J371" s="33" t="n"/>
      <c r="K371" s="33" t="n"/>
      <c r="L371" s="33" t="n"/>
      <c r="M371" s="35">
        <f>IF(H371="","",IFERROR(INDEX(Parceiros!$E$5:$E$54,MATCH(H371,Parceiros!$A$5:$A$54,0)),0))</f>
        <v/>
      </c>
      <c r="N371" s="36">
        <f>IF(OR(H371="",I371="",K371="Cancelado"),0,I371*N(M371))</f>
        <v/>
      </c>
      <c r="O371" s="37">
        <f>IF(ISNUMBER(A371),MONTH(A371),"")</f>
        <v/>
      </c>
      <c r="P371" s="37">
        <f>IF(ISNUMBER(A371),YEAR(A371),"")</f>
        <v/>
      </c>
    </row>
    <row r="372">
      <c r="A372" s="32" t="n"/>
      <c r="B372" s="33" t="n"/>
      <c r="C372" s="33" t="n"/>
      <c r="D372" s="33" t="n"/>
      <c r="E372" s="33" t="n"/>
      <c r="F372" s="33" t="n"/>
      <c r="G372" s="33" t="n"/>
      <c r="H372" s="33" t="n"/>
      <c r="I372" s="34" t="n"/>
      <c r="J372" s="33" t="n"/>
      <c r="K372" s="33" t="n"/>
      <c r="L372" s="33" t="n"/>
      <c r="M372" s="35">
        <f>IF(H372="","",IFERROR(INDEX(Parceiros!$E$5:$E$54,MATCH(H372,Parceiros!$A$5:$A$54,0)),0))</f>
        <v/>
      </c>
      <c r="N372" s="36">
        <f>IF(OR(H372="",I372="",K372="Cancelado"),0,I372*N(M372))</f>
        <v/>
      </c>
      <c r="O372" s="37">
        <f>IF(ISNUMBER(A372),MONTH(A372),"")</f>
        <v/>
      </c>
      <c r="P372" s="37">
        <f>IF(ISNUMBER(A372),YEAR(A372),"")</f>
        <v/>
      </c>
    </row>
    <row r="373">
      <c r="A373" s="32" t="n"/>
      <c r="B373" s="33" t="n"/>
      <c r="C373" s="33" t="n"/>
      <c r="D373" s="33" t="n"/>
      <c r="E373" s="33" t="n"/>
      <c r="F373" s="33" t="n"/>
      <c r="G373" s="33" t="n"/>
      <c r="H373" s="33" t="n"/>
      <c r="I373" s="34" t="n"/>
      <c r="J373" s="33" t="n"/>
      <c r="K373" s="33" t="n"/>
      <c r="L373" s="33" t="n"/>
      <c r="M373" s="35">
        <f>IF(H373="","",IFERROR(INDEX(Parceiros!$E$5:$E$54,MATCH(H373,Parceiros!$A$5:$A$54,0)),0))</f>
        <v/>
      </c>
      <c r="N373" s="36">
        <f>IF(OR(H373="",I373="",K373="Cancelado"),0,I373*N(M373))</f>
        <v/>
      </c>
      <c r="O373" s="37">
        <f>IF(ISNUMBER(A373),MONTH(A373),"")</f>
        <v/>
      </c>
      <c r="P373" s="37">
        <f>IF(ISNUMBER(A373),YEAR(A373),"")</f>
        <v/>
      </c>
    </row>
    <row r="374">
      <c r="A374" s="32" t="n"/>
      <c r="B374" s="33" t="n"/>
      <c r="C374" s="33" t="n"/>
      <c r="D374" s="33" t="n"/>
      <c r="E374" s="33" t="n"/>
      <c r="F374" s="33" t="n"/>
      <c r="G374" s="33" t="n"/>
      <c r="H374" s="33" t="n"/>
      <c r="I374" s="34" t="n"/>
      <c r="J374" s="33" t="n"/>
      <c r="K374" s="33" t="n"/>
      <c r="L374" s="33" t="n"/>
      <c r="M374" s="35">
        <f>IF(H374="","",IFERROR(INDEX(Parceiros!$E$5:$E$54,MATCH(H374,Parceiros!$A$5:$A$54,0)),0))</f>
        <v/>
      </c>
      <c r="N374" s="36">
        <f>IF(OR(H374="",I374="",K374="Cancelado"),0,I374*N(M374))</f>
        <v/>
      </c>
      <c r="O374" s="37">
        <f>IF(ISNUMBER(A374),MONTH(A374),"")</f>
        <v/>
      </c>
      <c r="P374" s="37">
        <f>IF(ISNUMBER(A374),YEAR(A374),"")</f>
        <v/>
      </c>
    </row>
    <row r="375">
      <c r="A375" s="32" t="n"/>
      <c r="B375" s="33" t="n"/>
      <c r="C375" s="33" t="n"/>
      <c r="D375" s="33" t="n"/>
      <c r="E375" s="33" t="n"/>
      <c r="F375" s="33" t="n"/>
      <c r="G375" s="33" t="n"/>
      <c r="H375" s="33" t="n"/>
      <c r="I375" s="34" t="n"/>
      <c r="J375" s="33" t="n"/>
      <c r="K375" s="33" t="n"/>
      <c r="L375" s="33" t="n"/>
      <c r="M375" s="35">
        <f>IF(H375="","",IFERROR(INDEX(Parceiros!$E$5:$E$54,MATCH(H375,Parceiros!$A$5:$A$54,0)),0))</f>
        <v/>
      </c>
      <c r="N375" s="36">
        <f>IF(OR(H375="",I375="",K375="Cancelado"),0,I375*N(M375))</f>
        <v/>
      </c>
      <c r="O375" s="37">
        <f>IF(ISNUMBER(A375),MONTH(A375),"")</f>
        <v/>
      </c>
      <c r="P375" s="37">
        <f>IF(ISNUMBER(A375),YEAR(A375),"")</f>
        <v/>
      </c>
    </row>
    <row r="376">
      <c r="A376" s="32" t="n"/>
      <c r="B376" s="33" t="n"/>
      <c r="C376" s="33" t="n"/>
      <c r="D376" s="33" t="n"/>
      <c r="E376" s="33" t="n"/>
      <c r="F376" s="33" t="n"/>
      <c r="G376" s="33" t="n"/>
      <c r="H376" s="33" t="n"/>
      <c r="I376" s="34" t="n"/>
      <c r="J376" s="33" t="n"/>
      <c r="K376" s="33" t="n"/>
      <c r="L376" s="33" t="n"/>
      <c r="M376" s="35">
        <f>IF(H376="","",IFERROR(INDEX(Parceiros!$E$5:$E$54,MATCH(H376,Parceiros!$A$5:$A$54,0)),0))</f>
        <v/>
      </c>
      <c r="N376" s="36">
        <f>IF(OR(H376="",I376="",K376="Cancelado"),0,I376*N(M376))</f>
        <v/>
      </c>
      <c r="O376" s="37">
        <f>IF(ISNUMBER(A376),MONTH(A376),"")</f>
        <v/>
      </c>
      <c r="P376" s="37">
        <f>IF(ISNUMBER(A376),YEAR(A376),"")</f>
        <v/>
      </c>
    </row>
    <row r="377">
      <c r="A377" s="32" t="n"/>
      <c r="B377" s="33" t="n"/>
      <c r="C377" s="33" t="n"/>
      <c r="D377" s="33" t="n"/>
      <c r="E377" s="33" t="n"/>
      <c r="F377" s="33" t="n"/>
      <c r="G377" s="33" t="n"/>
      <c r="H377" s="33" t="n"/>
      <c r="I377" s="34" t="n"/>
      <c r="J377" s="33" t="n"/>
      <c r="K377" s="33" t="n"/>
      <c r="L377" s="33" t="n"/>
      <c r="M377" s="35">
        <f>IF(H377="","",IFERROR(INDEX(Parceiros!$E$5:$E$54,MATCH(H377,Parceiros!$A$5:$A$54,0)),0))</f>
        <v/>
      </c>
      <c r="N377" s="36">
        <f>IF(OR(H377="",I377="",K377="Cancelado"),0,I377*N(M377))</f>
        <v/>
      </c>
      <c r="O377" s="37">
        <f>IF(ISNUMBER(A377),MONTH(A377),"")</f>
        <v/>
      </c>
      <c r="P377" s="37">
        <f>IF(ISNUMBER(A377),YEAR(A377),"")</f>
        <v/>
      </c>
    </row>
    <row r="378">
      <c r="A378" s="32" t="n"/>
      <c r="B378" s="33" t="n"/>
      <c r="C378" s="33" t="n"/>
      <c r="D378" s="33" t="n"/>
      <c r="E378" s="33" t="n"/>
      <c r="F378" s="33" t="n"/>
      <c r="G378" s="33" t="n"/>
      <c r="H378" s="33" t="n"/>
      <c r="I378" s="34" t="n"/>
      <c r="J378" s="33" t="n"/>
      <c r="K378" s="33" t="n"/>
      <c r="L378" s="33" t="n"/>
      <c r="M378" s="35">
        <f>IF(H378="","",IFERROR(INDEX(Parceiros!$E$5:$E$54,MATCH(H378,Parceiros!$A$5:$A$54,0)),0))</f>
        <v/>
      </c>
      <c r="N378" s="36">
        <f>IF(OR(H378="",I378="",K378="Cancelado"),0,I378*N(M378))</f>
        <v/>
      </c>
      <c r="O378" s="37">
        <f>IF(ISNUMBER(A378),MONTH(A378),"")</f>
        <v/>
      </c>
      <c r="P378" s="37">
        <f>IF(ISNUMBER(A378),YEAR(A378),"")</f>
        <v/>
      </c>
    </row>
    <row r="379">
      <c r="A379" s="32" t="n"/>
      <c r="B379" s="33" t="n"/>
      <c r="C379" s="33" t="n"/>
      <c r="D379" s="33" t="n"/>
      <c r="E379" s="33" t="n"/>
      <c r="F379" s="33" t="n"/>
      <c r="G379" s="33" t="n"/>
      <c r="H379" s="33" t="n"/>
      <c r="I379" s="34" t="n"/>
      <c r="J379" s="33" t="n"/>
      <c r="K379" s="33" t="n"/>
      <c r="L379" s="33" t="n"/>
      <c r="M379" s="35">
        <f>IF(H379="","",IFERROR(INDEX(Parceiros!$E$5:$E$54,MATCH(H379,Parceiros!$A$5:$A$54,0)),0))</f>
        <v/>
      </c>
      <c r="N379" s="36">
        <f>IF(OR(H379="",I379="",K379="Cancelado"),0,I379*N(M379))</f>
        <v/>
      </c>
      <c r="O379" s="37">
        <f>IF(ISNUMBER(A379),MONTH(A379),"")</f>
        <v/>
      </c>
      <c r="P379" s="37">
        <f>IF(ISNUMBER(A379),YEAR(A379),"")</f>
        <v/>
      </c>
    </row>
    <row r="380">
      <c r="A380" s="32" t="n"/>
      <c r="B380" s="33" t="n"/>
      <c r="C380" s="33" t="n"/>
      <c r="D380" s="33" t="n"/>
      <c r="E380" s="33" t="n"/>
      <c r="F380" s="33" t="n"/>
      <c r="G380" s="33" t="n"/>
      <c r="H380" s="33" t="n"/>
      <c r="I380" s="34" t="n"/>
      <c r="J380" s="33" t="n"/>
      <c r="K380" s="33" t="n"/>
      <c r="L380" s="33" t="n"/>
      <c r="M380" s="35">
        <f>IF(H380="","",IFERROR(INDEX(Parceiros!$E$5:$E$54,MATCH(H380,Parceiros!$A$5:$A$54,0)),0))</f>
        <v/>
      </c>
      <c r="N380" s="36">
        <f>IF(OR(H380="",I380="",K380="Cancelado"),0,I380*N(M380))</f>
        <v/>
      </c>
      <c r="O380" s="37">
        <f>IF(ISNUMBER(A380),MONTH(A380),"")</f>
        <v/>
      </c>
      <c r="P380" s="37">
        <f>IF(ISNUMBER(A380),YEAR(A380),"")</f>
        <v/>
      </c>
    </row>
    <row r="381">
      <c r="A381" s="32" t="n"/>
      <c r="B381" s="33" t="n"/>
      <c r="C381" s="33" t="n"/>
      <c r="D381" s="33" t="n"/>
      <c r="E381" s="33" t="n"/>
      <c r="F381" s="33" t="n"/>
      <c r="G381" s="33" t="n"/>
      <c r="H381" s="33" t="n"/>
      <c r="I381" s="34" t="n"/>
      <c r="J381" s="33" t="n"/>
      <c r="K381" s="33" t="n"/>
      <c r="L381" s="33" t="n"/>
      <c r="M381" s="35">
        <f>IF(H381="","",IFERROR(INDEX(Parceiros!$E$5:$E$54,MATCH(H381,Parceiros!$A$5:$A$54,0)),0))</f>
        <v/>
      </c>
      <c r="N381" s="36">
        <f>IF(OR(H381="",I381="",K381="Cancelado"),0,I381*N(M381))</f>
        <v/>
      </c>
      <c r="O381" s="37">
        <f>IF(ISNUMBER(A381),MONTH(A381),"")</f>
        <v/>
      </c>
      <c r="P381" s="37">
        <f>IF(ISNUMBER(A381),YEAR(A381),"")</f>
        <v/>
      </c>
    </row>
    <row r="382">
      <c r="A382" s="32" t="n"/>
      <c r="B382" s="33" t="n"/>
      <c r="C382" s="33" t="n"/>
      <c r="D382" s="33" t="n"/>
      <c r="E382" s="33" t="n"/>
      <c r="F382" s="33" t="n"/>
      <c r="G382" s="33" t="n"/>
      <c r="H382" s="33" t="n"/>
      <c r="I382" s="34" t="n"/>
      <c r="J382" s="33" t="n"/>
      <c r="K382" s="33" t="n"/>
      <c r="L382" s="33" t="n"/>
      <c r="M382" s="35">
        <f>IF(H382="","",IFERROR(INDEX(Parceiros!$E$5:$E$54,MATCH(H382,Parceiros!$A$5:$A$54,0)),0))</f>
        <v/>
      </c>
      <c r="N382" s="36">
        <f>IF(OR(H382="",I382="",K382="Cancelado"),0,I382*N(M382))</f>
        <v/>
      </c>
      <c r="O382" s="37">
        <f>IF(ISNUMBER(A382),MONTH(A382),"")</f>
        <v/>
      </c>
      <c r="P382" s="37">
        <f>IF(ISNUMBER(A382),YEAR(A382),"")</f>
        <v/>
      </c>
    </row>
    <row r="383">
      <c r="A383" s="32" t="n"/>
      <c r="B383" s="33" t="n"/>
      <c r="C383" s="33" t="n"/>
      <c r="D383" s="33" t="n"/>
      <c r="E383" s="33" t="n"/>
      <c r="F383" s="33" t="n"/>
      <c r="G383" s="33" t="n"/>
      <c r="H383" s="33" t="n"/>
      <c r="I383" s="34" t="n"/>
      <c r="J383" s="33" t="n"/>
      <c r="K383" s="33" t="n"/>
      <c r="L383" s="33" t="n"/>
      <c r="M383" s="35">
        <f>IF(H383="","",IFERROR(INDEX(Parceiros!$E$5:$E$54,MATCH(H383,Parceiros!$A$5:$A$54,0)),0))</f>
        <v/>
      </c>
      <c r="N383" s="36">
        <f>IF(OR(H383="",I383="",K383="Cancelado"),0,I383*N(M383))</f>
        <v/>
      </c>
      <c r="O383" s="37">
        <f>IF(ISNUMBER(A383),MONTH(A383),"")</f>
        <v/>
      </c>
      <c r="P383" s="37">
        <f>IF(ISNUMBER(A383),YEAR(A383),"")</f>
        <v/>
      </c>
    </row>
    <row r="384">
      <c r="A384" s="32" t="n"/>
      <c r="B384" s="33" t="n"/>
      <c r="C384" s="33" t="n"/>
      <c r="D384" s="33" t="n"/>
      <c r="E384" s="33" t="n"/>
      <c r="F384" s="33" t="n"/>
      <c r="G384" s="33" t="n"/>
      <c r="H384" s="33" t="n"/>
      <c r="I384" s="34" t="n"/>
      <c r="J384" s="33" t="n"/>
      <c r="K384" s="33" t="n"/>
      <c r="L384" s="33" t="n"/>
      <c r="M384" s="35">
        <f>IF(H384="","",IFERROR(INDEX(Parceiros!$E$5:$E$54,MATCH(H384,Parceiros!$A$5:$A$54,0)),0))</f>
        <v/>
      </c>
      <c r="N384" s="36">
        <f>IF(OR(H384="",I384="",K384="Cancelado"),0,I384*N(M384))</f>
        <v/>
      </c>
      <c r="O384" s="37">
        <f>IF(ISNUMBER(A384),MONTH(A384),"")</f>
        <v/>
      </c>
      <c r="P384" s="37">
        <f>IF(ISNUMBER(A384),YEAR(A384),"")</f>
        <v/>
      </c>
    </row>
    <row r="385">
      <c r="A385" s="32" t="n"/>
      <c r="B385" s="33" t="n"/>
      <c r="C385" s="33" t="n"/>
      <c r="D385" s="33" t="n"/>
      <c r="E385" s="33" t="n"/>
      <c r="F385" s="33" t="n"/>
      <c r="G385" s="33" t="n"/>
      <c r="H385" s="33" t="n"/>
      <c r="I385" s="34" t="n"/>
      <c r="J385" s="33" t="n"/>
      <c r="K385" s="33" t="n"/>
      <c r="L385" s="33" t="n"/>
      <c r="M385" s="35">
        <f>IF(H385="","",IFERROR(INDEX(Parceiros!$E$5:$E$54,MATCH(H385,Parceiros!$A$5:$A$54,0)),0))</f>
        <v/>
      </c>
      <c r="N385" s="36">
        <f>IF(OR(H385="",I385="",K385="Cancelado"),0,I385*N(M385))</f>
        <v/>
      </c>
      <c r="O385" s="37">
        <f>IF(ISNUMBER(A385),MONTH(A385),"")</f>
        <v/>
      </c>
      <c r="P385" s="37">
        <f>IF(ISNUMBER(A385),YEAR(A385),"")</f>
        <v/>
      </c>
    </row>
    <row r="386">
      <c r="A386" s="32" t="n"/>
      <c r="B386" s="33" t="n"/>
      <c r="C386" s="33" t="n"/>
      <c r="D386" s="33" t="n"/>
      <c r="E386" s="33" t="n"/>
      <c r="F386" s="33" t="n"/>
      <c r="G386" s="33" t="n"/>
      <c r="H386" s="33" t="n"/>
      <c r="I386" s="34" t="n"/>
      <c r="J386" s="33" t="n"/>
      <c r="K386" s="33" t="n"/>
      <c r="L386" s="33" t="n"/>
      <c r="M386" s="35">
        <f>IF(H386="","",IFERROR(INDEX(Parceiros!$E$5:$E$54,MATCH(H386,Parceiros!$A$5:$A$54,0)),0))</f>
        <v/>
      </c>
      <c r="N386" s="36">
        <f>IF(OR(H386="",I386="",K386="Cancelado"),0,I386*N(M386))</f>
        <v/>
      </c>
      <c r="O386" s="37">
        <f>IF(ISNUMBER(A386),MONTH(A386),"")</f>
        <v/>
      </c>
      <c r="P386" s="37">
        <f>IF(ISNUMBER(A386),YEAR(A386),"")</f>
        <v/>
      </c>
    </row>
    <row r="387">
      <c r="A387" s="32" t="n"/>
      <c r="B387" s="33" t="n"/>
      <c r="C387" s="33" t="n"/>
      <c r="D387" s="33" t="n"/>
      <c r="E387" s="33" t="n"/>
      <c r="F387" s="33" t="n"/>
      <c r="G387" s="33" t="n"/>
      <c r="H387" s="33" t="n"/>
      <c r="I387" s="34" t="n"/>
      <c r="J387" s="33" t="n"/>
      <c r="K387" s="33" t="n"/>
      <c r="L387" s="33" t="n"/>
      <c r="M387" s="35">
        <f>IF(H387="","",IFERROR(INDEX(Parceiros!$E$5:$E$54,MATCH(H387,Parceiros!$A$5:$A$54,0)),0))</f>
        <v/>
      </c>
      <c r="N387" s="36">
        <f>IF(OR(H387="",I387="",K387="Cancelado"),0,I387*N(M387))</f>
        <v/>
      </c>
      <c r="O387" s="37">
        <f>IF(ISNUMBER(A387),MONTH(A387),"")</f>
        <v/>
      </c>
      <c r="P387" s="37">
        <f>IF(ISNUMBER(A387),YEAR(A387),"")</f>
        <v/>
      </c>
    </row>
    <row r="388">
      <c r="A388" s="32" t="n"/>
      <c r="B388" s="33" t="n"/>
      <c r="C388" s="33" t="n"/>
      <c r="D388" s="33" t="n"/>
      <c r="E388" s="33" t="n"/>
      <c r="F388" s="33" t="n"/>
      <c r="G388" s="33" t="n"/>
      <c r="H388" s="33" t="n"/>
      <c r="I388" s="34" t="n"/>
      <c r="J388" s="33" t="n"/>
      <c r="K388" s="33" t="n"/>
      <c r="L388" s="33" t="n"/>
      <c r="M388" s="35">
        <f>IF(H388="","",IFERROR(INDEX(Parceiros!$E$5:$E$54,MATCH(H388,Parceiros!$A$5:$A$54,0)),0))</f>
        <v/>
      </c>
      <c r="N388" s="36">
        <f>IF(OR(H388="",I388="",K388="Cancelado"),0,I388*N(M388))</f>
        <v/>
      </c>
      <c r="O388" s="37">
        <f>IF(ISNUMBER(A388),MONTH(A388),"")</f>
        <v/>
      </c>
      <c r="P388" s="37">
        <f>IF(ISNUMBER(A388),YEAR(A388),"")</f>
        <v/>
      </c>
    </row>
    <row r="389">
      <c r="A389" s="32" t="n"/>
      <c r="B389" s="33" t="n"/>
      <c r="C389" s="33" t="n"/>
      <c r="D389" s="33" t="n"/>
      <c r="E389" s="33" t="n"/>
      <c r="F389" s="33" t="n"/>
      <c r="G389" s="33" t="n"/>
      <c r="H389" s="33" t="n"/>
      <c r="I389" s="34" t="n"/>
      <c r="J389" s="33" t="n"/>
      <c r="K389" s="33" t="n"/>
      <c r="L389" s="33" t="n"/>
      <c r="M389" s="35">
        <f>IF(H389="","",IFERROR(INDEX(Parceiros!$E$5:$E$54,MATCH(H389,Parceiros!$A$5:$A$54,0)),0))</f>
        <v/>
      </c>
      <c r="N389" s="36">
        <f>IF(OR(H389="",I389="",K389="Cancelado"),0,I389*N(M389))</f>
        <v/>
      </c>
      <c r="O389" s="37">
        <f>IF(ISNUMBER(A389),MONTH(A389),"")</f>
        <v/>
      </c>
      <c r="P389" s="37">
        <f>IF(ISNUMBER(A389),YEAR(A389),"")</f>
        <v/>
      </c>
    </row>
    <row r="390">
      <c r="A390" s="32" t="n"/>
      <c r="B390" s="33" t="n"/>
      <c r="C390" s="33" t="n"/>
      <c r="D390" s="33" t="n"/>
      <c r="E390" s="33" t="n"/>
      <c r="F390" s="33" t="n"/>
      <c r="G390" s="33" t="n"/>
      <c r="H390" s="33" t="n"/>
      <c r="I390" s="34" t="n"/>
      <c r="J390" s="33" t="n"/>
      <c r="K390" s="33" t="n"/>
      <c r="L390" s="33" t="n"/>
      <c r="M390" s="35">
        <f>IF(H390="","",IFERROR(INDEX(Parceiros!$E$5:$E$54,MATCH(H390,Parceiros!$A$5:$A$54,0)),0))</f>
        <v/>
      </c>
      <c r="N390" s="36">
        <f>IF(OR(H390="",I390="",K390="Cancelado"),0,I390*N(M390))</f>
        <v/>
      </c>
      <c r="O390" s="37">
        <f>IF(ISNUMBER(A390),MONTH(A390),"")</f>
        <v/>
      </c>
      <c r="P390" s="37">
        <f>IF(ISNUMBER(A390),YEAR(A390),"")</f>
        <v/>
      </c>
    </row>
    <row r="391">
      <c r="A391" s="32" t="n"/>
      <c r="B391" s="33" t="n"/>
      <c r="C391" s="33" t="n"/>
      <c r="D391" s="33" t="n"/>
      <c r="E391" s="33" t="n"/>
      <c r="F391" s="33" t="n"/>
      <c r="G391" s="33" t="n"/>
      <c r="H391" s="33" t="n"/>
      <c r="I391" s="34" t="n"/>
      <c r="J391" s="33" t="n"/>
      <c r="K391" s="33" t="n"/>
      <c r="L391" s="33" t="n"/>
      <c r="M391" s="35">
        <f>IF(H391="","",IFERROR(INDEX(Parceiros!$E$5:$E$54,MATCH(H391,Parceiros!$A$5:$A$54,0)),0))</f>
        <v/>
      </c>
      <c r="N391" s="36">
        <f>IF(OR(H391="",I391="",K391="Cancelado"),0,I391*N(M391))</f>
        <v/>
      </c>
      <c r="O391" s="37">
        <f>IF(ISNUMBER(A391),MONTH(A391),"")</f>
        <v/>
      </c>
      <c r="P391" s="37">
        <f>IF(ISNUMBER(A391),YEAR(A391),"")</f>
        <v/>
      </c>
    </row>
    <row r="392">
      <c r="A392" s="32" t="n"/>
      <c r="B392" s="33" t="n"/>
      <c r="C392" s="33" t="n"/>
      <c r="D392" s="33" t="n"/>
      <c r="E392" s="33" t="n"/>
      <c r="F392" s="33" t="n"/>
      <c r="G392" s="33" t="n"/>
      <c r="H392" s="33" t="n"/>
      <c r="I392" s="34" t="n"/>
      <c r="J392" s="33" t="n"/>
      <c r="K392" s="33" t="n"/>
      <c r="L392" s="33" t="n"/>
      <c r="M392" s="35">
        <f>IF(H392="","",IFERROR(INDEX(Parceiros!$E$5:$E$54,MATCH(H392,Parceiros!$A$5:$A$54,0)),0))</f>
        <v/>
      </c>
      <c r="N392" s="36">
        <f>IF(OR(H392="",I392="",K392="Cancelado"),0,I392*N(M392))</f>
        <v/>
      </c>
      <c r="O392" s="37">
        <f>IF(ISNUMBER(A392),MONTH(A392),"")</f>
        <v/>
      </c>
      <c r="P392" s="37">
        <f>IF(ISNUMBER(A392),YEAR(A392),"")</f>
        <v/>
      </c>
    </row>
    <row r="393">
      <c r="A393" s="32" t="n"/>
      <c r="B393" s="33" t="n"/>
      <c r="C393" s="33" t="n"/>
      <c r="D393" s="33" t="n"/>
      <c r="E393" s="33" t="n"/>
      <c r="F393" s="33" t="n"/>
      <c r="G393" s="33" t="n"/>
      <c r="H393" s="33" t="n"/>
      <c r="I393" s="34" t="n"/>
      <c r="J393" s="33" t="n"/>
      <c r="K393" s="33" t="n"/>
      <c r="L393" s="33" t="n"/>
      <c r="M393" s="35">
        <f>IF(H393="","",IFERROR(INDEX(Parceiros!$E$5:$E$54,MATCH(H393,Parceiros!$A$5:$A$54,0)),0))</f>
        <v/>
      </c>
      <c r="N393" s="36">
        <f>IF(OR(H393="",I393="",K393="Cancelado"),0,I393*N(M393))</f>
        <v/>
      </c>
      <c r="O393" s="37">
        <f>IF(ISNUMBER(A393),MONTH(A393),"")</f>
        <v/>
      </c>
      <c r="P393" s="37">
        <f>IF(ISNUMBER(A393),YEAR(A393),"")</f>
        <v/>
      </c>
    </row>
    <row r="394">
      <c r="A394" s="32" t="n"/>
      <c r="B394" s="33" t="n"/>
      <c r="C394" s="33" t="n"/>
      <c r="D394" s="33" t="n"/>
      <c r="E394" s="33" t="n"/>
      <c r="F394" s="33" t="n"/>
      <c r="G394" s="33" t="n"/>
      <c r="H394" s="33" t="n"/>
      <c r="I394" s="34" t="n"/>
      <c r="J394" s="33" t="n"/>
      <c r="K394" s="33" t="n"/>
      <c r="L394" s="33" t="n"/>
      <c r="M394" s="35">
        <f>IF(H394="","",IFERROR(INDEX(Parceiros!$E$5:$E$54,MATCH(H394,Parceiros!$A$5:$A$54,0)),0))</f>
        <v/>
      </c>
      <c r="N394" s="36">
        <f>IF(OR(H394="",I394="",K394="Cancelado"),0,I394*N(M394))</f>
        <v/>
      </c>
      <c r="O394" s="37">
        <f>IF(ISNUMBER(A394),MONTH(A394),"")</f>
        <v/>
      </c>
      <c r="P394" s="37">
        <f>IF(ISNUMBER(A394),YEAR(A394),"")</f>
        <v/>
      </c>
    </row>
    <row r="395">
      <c r="A395" s="32" t="n"/>
      <c r="B395" s="33" t="n"/>
      <c r="C395" s="33" t="n"/>
      <c r="D395" s="33" t="n"/>
      <c r="E395" s="33" t="n"/>
      <c r="F395" s="33" t="n"/>
      <c r="G395" s="33" t="n"/>
      <c r="H395" s="33" t="n"/>
      <c r="I395" s="34" t="n"/>
      <c r="J395" s="33" t="n"/>
      <c r="K395" s="33" t="n"/>
      <c r="L395" s="33" t="n"/>
      <c r="M395" s="35">
        <f>IF(H395="","",IFERROR(INDEX(Parceiros!$E$5:$E$54,MATCH(H395,Parceiros!$A$5:$A$54,0)),0))</f>
        <v/>
      </c>
      <c r="N395" s="36">
        <f>IF(OR(H395="",I395="",K395="Cancelado"),0,I395*N(M395))</f>
        <v/>
      </c>
      <c r="O395" s="37">
        <f>IF(ISNUMBER(A395),MONTH(A395),"")</f>
        <v/>
      </c>
      <c r="P395" s="37">
        <f>IF(ISNUMBER(A395),YEAR(A395),"")</f>
        <v/>
      </c>
    </row>
    <row r="396">
      <c r="A396" s="32" t="n"/>
      <c r="B396" s="33" t="n"/>
      <c r="C396" s="33" t="n"/>
      <c r="D396" s="33" t="n"/>
      <c r="E396" s="33" t="n"/>
      <c r="F396" s="33" t="n"/>
      <c r="G396" s="33" t="n"/>
      <c r="H396" s="33" t="n"/>
      <c r="I396" s="34" t="n"/>
      <c r="J396" s="33" t="n"/>
      <c r="K396" s="33" t="n"/>
      <c r="L396" s="33" t="n"/>
      <c r="M396" s="35">
        <f>IF(H396="","",IFERROR(INDEX(Parceiros!$E$5:$E$54,MATCH(H396,Parceiros!$A$5:$A$54,0)),0))</f>
        <v/>
      </c>
      <c r="N396" s="36">
        <f>IF(OR(H396="",I396="",K396="Cancelado"),0,I396*N(M396))</f>
        <v/>
      </c>
      <c r="O396" s="37">
        <f>IF(ISNUMBER(A396),MONTH(A396),"")</f>
        <v/>
      </c>
      <c r="P396" s="37">
        <f>IF(ISNUMBER(A396),YEAR(A396),"")</f>
        <v/>
      </c>
    </row>
    <row r="397">
      <c r="A397" s="32" t="n"/>
      <c r="B397" s="33" t="n"/>
      <c r="C397" s="33" t="n"/>
      <c r="D397" s="33" t="n"/>
      <c r="E397" s="33" t="n"/>
      <c r="F397" s="33" t="n"/>
      <c r="G397" s="33" t="n"/>
      <c r="H397" s="33" t="n"/>
      <c r="I397" s="34" t="n"/>
      <c r="J397" s="33" t="n"/>
      <c r="K397" s="33" t="n"/>
      <c r="L397" s="33" t="n"/>
      <c r="M397" s="35">
        <f>IF(H397="","",IFERROR(INDEX(Parceiros!$E$5:$E$54,MATCH(H397,Parceiros!$A$5:$A$54,0)),0))</f>
        <v/>
      </c>
      <c r="N397" s="36">
        <f>IF(OR(H397="",I397="",K397="Cancelado"),0,I397*N(M397))</f>
        <v/>
      </c>
      <c r="O397" s="37">
        <f>IF(ISNUMBER(A397),MONTH(A397),"")</f>
        <v/>
      </c>
      <c r="P397" s="37">
        <f>IF(ISNUMBER(A397),YEAR(A397),"")</f>
        <v/>
      </c>
    </row>
    <row r="398">
      <c r="A398" s="32" t="n"/>
      <c r="B398" s="33" t="n"/>
      <c r="C398" s="33" t="n"/>
      <c r="D398" s="33" t="n"/>
      <c r="E398" s="33" t="n"/>
      <c r="F398" s="33" t="n"/>
      <c r="G398" s="33" t="n"/>
      <c r="H398" s="33" t="n"/>
      <c r="I398" s="34" t="n"/>
      <c r="J398" s="33" t="n"/>
      <c r="K398" s="33" t="n"/>
      <c r="L398" s="33" t="n"/>
      <c r="M398" s="35">
        <f>IF(H398="","",IFERROR(INDEX(Parceiros!$E$5:$E$54,MATCH(H398,Parceiros!$A$5:$A$54,0)),0))</f>
        <v/>
      </c>
      <c r="N398" s="36">
        <f>IF(OR(H398="",I398="",K398="Cancelado"),0,I398*N(M398))</f>
        <v/>
      </c>
      <c r="O398" s="37">
        <f>IF(ISNUMBER(A398),MONTH(A398),"")</f>
        <v/>
      </c>
      <c r="P398" s="37">
        <f>IF(ISNUMBER(A398),YEAR(A398),"")</f>
        <v/>
      </c>
    </row>
    <row r="399">
      <c r="A399" s="32" t="n"/>
      <c r="B399" s="33" t="n"/>
      <c r="C399" s="33" t="n"/>
      <c r="D399" s="33" t="n"/>
      <c r="E399" s="33" t="n"/>
      <c r="F399" s="33" t="n"/>
      <c r="G399" s="33" t="n"/>
      <c r="H399" s="33" t="n"/>
      <c r="I399" s="34" t="n"/>
      <c r="J399" s="33" t="n"/>
      <c r="K399" s="33" t="n"/>
      <c r="L399" s="33" t="n"/>
      <c r="M399" s="35">
        <f>IF(H399="","",IFERROR(INDEX(Parceiros!$E$5:$E$54,MATCH(H399,Parceiros!$A$5:$A$54,0)),0))</f>
        <v/>
      </c>
      <c r="N399" s="36">
        <f>IF(OR(H399="",I399="",K399="Cancelado"),0,I399*N(M399))</f>
        <v/>
      </c>
      <c r="O399" s="37">
        <f>IF(ISNUMBER(A399),MONTH(A399),"")</f>
        <v/>
      </c>
      <c r="P399" s="37">
        <f>IF(ISNUMBER(A399),YEAR(A399),"")</f>
        <v/>
      </c>
    </row>
    <row r="400">
      <c r="A400" s="32" t="n"/>
      <c r="B400" s="33" t="n"/>
      <c r="C400" s="33" t="n"/>
      <c r="D400" s="33" t="n"/>
      <c r="E400" s="33" t="n"/>
      <c r="F400" s="33" t="n"/>
      <c r="G400" s="33" t="n"/>
      <c r="H400" s="33" t="n"/>
      <c r="I400" s="34" t="n"/>
      <c r="J400" s="33" t="n"/>
      <c r="K400" s="33" t="n"/>
      <c r="L400" s="33" t="n"/>
      <c r="M400" s="35">
        <f>IF(H400="","",IFERROR(INDEX(Parceiros!$E$5:$E$54,MATCH(H400,Parceiros!$A$5:$A$54,0)),0))</f>
        <v/>
      </c>
      <c r="N400" s="36">
        <f>IF(OR(H400="",I400="",K400="Cancelado"),0,I400*N(M400))</f>
        <v/>
      </c>
      <c r="O400" s="37">
        <f>IF(ISNUMBER(A400),MONTH(A400),"")</f>
        <v/>
      </c>
      <c r="P400" s="37">
        <f>IF(ISNUMBER(A400),YEAR(A400),"")</f>
        <v/>
      </c>
    </row>
    <row r="401">
      <c r="A401" s="32" t="n"/>
      <c r="B401" s="33" t="n"/>
      <c r="C401" s="33" t="n"/>
      <c r="D401" s="33" t="n"/>
      <c r="E401" s="33" t="n"/>
      <c r="F401" s="33" t="n"/>
      <c r="G401" s="33" t="n"/>
      <c r="H401" s="33" t="n"/>
      <c r="I401" s="34" t="n"/>
      <c r="J401" s="33" t="n"/>
      <c r="K401" s="33" t="n"/>
      <c r="L401" s="33" t="n"/>
      <c r="M401" s="35">
        <f>IF(H401="","",IFERROR(INDEX(Parceiros!$E$5:$E$54,MATCH(H401,Parceiros!$A$5:$A$54,0)),0))</f>
        <v/>
      </c>
      <c r="N401" s="36">
        <f>IF(OR(H401="",I401="",K401="Cancelado"),0,I401*N(M401))</f>
        <v/>
      </c>
      <c r="O401" s="37">
        <f>IF(ISNUMBER(A401),MONTH(A401),"")</f>
        <v/>
      </c>
      <c r="P401" s="37">
        <f>IF(ISNUMBER(A401),YEAR(A401),"")</f>
        <v/>
      </c>
    </row>
    <row r="402">
      <c r="A402" s="32" t="n"/>
      <c r="B402" s="33" t="n"/>
      <c r="C402" s="33" t="n"/>
      <c r="D402" s="33" t="n"/>
      <c r="E402" s="33" t="n"/>
      <c r="F402" s="33" t="n"/>
      <c r="G402" s="33" t="n"/>
      <c r="H402" s="33" t="n"/>
      <c r="I402" s="34" t="n"/>
      <c r="J402" s="33" t="n"/>
      <c r="K402" s="33" t="n"/>
      <c r="L402" s="33" t="n"/>
      <c r="M402" s="35">
        <f>IF(H402="","",IFERROR(INDEX(Parceiros!$E$5:$E$54,MATCH(H402,Parceiros!$A$5:$A$54,0)),0))</f>
        <v/>
      </c>
      <c r="N402" s="36">
        <f>IF(OR(H402="",I402="",K402="Cancelado"),0,I402*N(M402))</f>
        <v/>
      </c>
      <c r="O402" s="37">
        <f>IF(ISNUMBER(A402),MONTH(A402),"")</f>
        <v/>
      </c>
      <c r="P402" s="37">
        <f>IF(ISNUMBER(A402),YEAR(A402),"")</f>
        <v/>
      </c>
    </row>
    <row r="403">
      <c r="A403" s="32" t="n"/>
      <c r="B403" s="33" t="n"/>
      <c r="C403" s="33" t="n"/>
      <c r="D403" s="33" t="n"/>
      <c r="E403" s="33" t="n"/>
      <c r="F403" s="33" t="n"/>
      <c r="G403" s="33" t="n"/>
      <c r="H403" s="33" t="n"/>
      <c r="I403" s="34" t="n"/>
      <c r="J403" s="33" t="n"/>
      <c r="K403" s="33" t="n"/>
      <c r="L403" s="33" t="n"/>
      <c r="M403" s="35">
        <f>IF(H403="","",IFERROR(INDEX(Parceiros!$E$5:$E$54,MATCH(H403,Parceiros!$A$5:$A$54,0)),0))</f>
        <v/>
      </c>
      <c r="N403" s="36">
        <f>IF(OR(H403="",I403="",K403="Cancelado"),0,I403*N(M403))</f>
        <v/>
      </c>
      <c r="O403" s="37">
        <f>IF(ISNUMBER(A403),MONTH(A403),"")</f>
        <v/>
      </c>
      <c r="P403" s="37">
        <f>IF(ISNUMBER(A403),YEAR(A403),"")</f>
        <v/>
      </c>
    </row>
    <row r="404">
      <c r="A404" s="32" t="n"/>
      <c r="B404" s="33" t="n"/>
      <c r="C404" s="33" t="n"/>
      <c r="D404" s="33" t="n"/>
      <c r="E404" s="33" t="n"/>
      <c r="F404" s="33" t="n"/>
      <c r="G404" s="33" t="n"/>
      <c r="H404" s="33" t="n"/>
      <c r="I404" s="34" t="n"/>
      <c r="J404" s="33" t="n"/>
      <c r="K404" s="33" t="n"/>
      <c r="L404" s="33" t="n"/>
      <c r="M404" s="35">
        <f>IF(H404="","",IFERROR(INDEX(Parceiros!$E$5:$E$54,MATCH(H404,Parceiros!$A$5:$A$54,0)),0))</f>
        <v/>
      </c>
      <c r="N404" s="36">
        <f>IF(OR(H404="",I404="",K404="Cancelado"),0,I404*N(M404))</f>
        <v/>
      </c>
      <c r="O404" s="37">
        <f>IF(ISNUMBER(A404),MONTH(A404),"")</f>
        <v/>
      </c>
      <c r="P404" s="37">
        <f>IF(ISNUMBER(A404),YEAR(A404),"")</f>
        <v/>
      </c>
    </row>
    <row r="405">
      <c r="A405" s="32" t="n"/>
      <c r="B405" s="33" t="n"/>
      <c r="C405" s="33" t="n"/>
      <c r="D405" s="33" t="n"/>
      <c r="E405" s="33" t="n"/>
      <c r="F405" s="33" t="n"/>
      <c r="G405" s="33" t="n"/>
      <c r="H405" s="33" t="n"/>
      <c r="I405" s="34" t="n"/>
      <c r="J405" s="33" t="n"/>
      <c r="K405" s="33" t="n"/>
      <c r="L405" s="33" t="n"/>
      <c r="M405" s="35">
        <f>IF(H405="","",IFERROR(INDEX(Parceiros!$E$5:$E$54,MATCH(H405,Parceiros!$A$5:$A$54,0)),0))</f>
        <v/>
      </c>
      <c r="N405" s="36">
        <f>IF(OR(H405="",I405="",K405="Cancelado"),0,I405*N(M405))</f>
        <v/>
      </c>
      <c r="O405" s="37">
        <f>IF(ISNUMBER(A405),MONTH(A405),"")</f>
        <v/>
      </c>
      <c r="P405" s="37">
        <f>IF(ISNUMBER(A405),YEAR(A405),"")</f>
        <v/>
      </c>
    </row>
    <row r="406">
      <c r="A406" s="32" t="n"/>
      <c r="B406" s="33" t="n"/>
      <c r="C406" s="33" t="n"/>
      <c r="D406" s="33" t="n"/>
      <c r="E406" s="33" t="n"/>
      <c r="F406" s="33" t="n"/>
      <c r="G406" s="33" t="n"/>
      <c r="H406" s="33" t="n"/>
      <c r="I406" s="34" t="n"/>
      <c r="J406" s="33" t="n"/>
      <c r="K406" s="33" t="n"/>
      <c r="L406" s="33" t="n"/>
      <c r="M406" s="35">
        <f>IF(H406="","",IFERROR(INDEX(Parceiros!$E$5:$E$54,MATCH(H406,Parceiros!$A$5:$A$54,0)),0))</f>
        <v/>
      </c>
      <c r="N406" s="36">
        <f>IF(OR(H406="",I406="",K406="Cancelado"),0,I406*N(M406))</f>
        <v/>
      </c>
      <c r="O406" s="37">
        <f>IF(ISNUMBER(A406),MONTH(A406),"")</f>
        <v/>
      </c>
      <c r="P406" s="37">
        <f>IF(ISNUMBER(A406),YEAR(A406),"")</f>
        <v/>
      </c>
    </row>
    <row r="407">
      <c r="A407" s="32" t="n"/>
      <c r="B407" s="33" t="n"/>
      <c r="C407" s="33" t="n"/>
      <c r="D407" s="33" t="n"/>
      <c r="E407" s="33" t="n"/>
      <c r="F407" s="33" t="n"/>
      <c r="G407" s="33" t="n"/>
      <c r="H407" s="33" t="n"/>
      <c r="I407" s="34" t="n"/>
      <c r="J407" s="33" t="n"/>
      <c r="K407" s="33" t="n"/>
      <c r="L407" s="33" t="n"/>
      <c r="M407" s="35">
        <f>IF(H407="","",IFERROR(INDEX(Parceiros!$E$5:$E$54,MATCH(H407,Parceiros!$A$5:$A$54,0)),0))</f>
        <v/>
      </c>
      <c r="N407" s="36">
        <f>IF(OR(H407="",I407="",K407="Cancelado"),0,I407*N(M407))</f>
        <v/>
      </c>
      <c r="O407" s="37">
        <f>IF(ISNUMBER(A407),MONTH(A407),"")</f>
        <v/>
      </c>
      <c r="P407" s="37">
        <f>IF(ISNUMBER(A407),YEAR(A407),"")</f>
        <v/>
      </c>
    </row>
    <row r="408">
      <c r="A408" s="32" t="n"/>
      <c r="B408" s="33" t="n"/>
      <c r="C408" s="33" t="n"/>
      <c r="D408" s="33" t="n"/>
      <c r="E408" s="33" t="n"/>
      <c r="F408" s="33" t="n"/>
      <c r="G408" s="33" t="n"/>
      <c r="H408" s="33" t="n"/>
      <c r="I408" s="34" t="n"/>
      <c r="J408" s="33" t="n"/>
      <c r="K408" s="33" t="n"/>
      <c r="L408" s="33" t="n"/>
      <c r="M408" s="35">
        <f>IF(H408="","",IFERROR(INDEX(Parceiros!$E$5:$E$54,MATCH(H408,Parceiros!$A$5:$A$54,0)),0))</f>
        <v/>
      </c>
      <c r="N408" s="36">
        <f>IF(OR(H408="",I408="",K408="Cancelado"),0,I408*N(M408))</f>
        <v/>
      </c>
      <c r="O408" s="37">
        <f>IF(ISNUMBER(A408),MONTH(A408),"")</f>
        <v/>
      </c>
      <c r="P408" s="37">
        <f>IF(ISNUMBER(A408),YEAR(A408),"")</f>
        <v/>
      </c>
    </row>
    <row r="409">
      <c r="A409" s="32" t="n"/>
      <c r="B409" s="33" t="n"/>
      <c r="C409" s="33" t="n"/>
      <c r="D409" s="33" t="n"/>
      <c r="E409" s="33" t="n"/>
      <c r="F409" s="33" t="n"/>
      <c r="G409" s="33" t="n"/>
      <c r="H409" s="33" t="n"/>
      <c r="I409" s="34" t="n"/>
      <c r="J409" s="33" t="n"/>
      <c r="K409" s="33" t="n"/>
      <c r="L409" s="33" t="n"/>
      <c r="M409" s="35">
        <f>IF(H409="","",IFERROR(INDEX(Parceiros!$E$5:$E$54,MATCH(H409,Parceiros!$A$5:$A$54,0)),0))</f>
        <v/>
      </c>
      <c r="N409" s="36">
        <f>IF(OR(H409="",I409="",K409="Cancelado"),0,I409*N(M409))</f>
        <v/>
      </c>
      <c r="O409" s="37">
        <f>IF(ISNUMBER(A409),MONTH(A409),"")</f>
        <v/>
      </c>
      <c r="P409" s="37">
        <f>IF(ISNUMBER(A409),YEAR(A409),"")</f>
        <v/>
      </c>
    </row>
    <row r="410">
      <c r="A410" s="32" t="n"/>
      <c r="B410" s="33" t="n"/>
      <c r="C410" s="33" t="n"/>
      <c r="D410" s="33" t="n"/>
      <c r="E410" s="33" t="n"/>
      <c r="F410" s="33" t="n"/>
      <c r="G410" s="33" t="n"/>
      <c r="H410" s="33" t="n"/>
      <c r="I410" s="34" t="n"/>
      <c r="J410" s="33" t="n"/>
      <c r="K410" s="33" t="n"/>
      <c r="L410" s="33" t="n"/>
      <c r="M410" s="35">
        <f>IF(H410="","",IFERROR(INDEX(Parceiros!$E$5:$E$54,MATCH(H410,Parceiros!$A$5:$A$54,0)),0))</f>
        <v/>
      </c>
      <c r="N410" s="36">
        <f>IF(OR(H410="",I410="",K410="Cancelado"),0,I410*N(M410))</f>
        <v/>
      </c>
      <c r="O410" s="37">
        <f>IF(ISNUMBER(A410),MONTH(A410),"")</f>
        <v/>
      </c>
      <c r="P410" s="37">
        <f>IF(ISNUMBER(A410),YEAR(A410),"")</f>
        <v/>
      </c>
    </row>
    <row r="411">
      <c r="A411" s="32" t="n"/>
      <c r="B411" s="33" t="n"/>
      <c r="C411" s="33" t="n"/>
      <c r="D411" s="33" t="n"/>
      <c r="E411" s="33" t="n"/>
      <c r="F411" s="33" t="n"/>
      <c r="G411" s="33" t="n"/>
      <c r="H411" s="33" t="n"/>
      <c r="I411" s="34" t="n"/>
      <c r="J411" s="33" t="n"/>
      <c r="K411" s="33" t="n"/>
      <c r="L411" s="33" t="n"/>
      <c r="M411" s="35">
        <f>IF(H411="","",IFERROR(INDEX(Parceiros!$E$5:$E$54,MATCH(H411,Parceiros!$A$5:$A$54,0)),0))</f>
        <v/>
      </c>
      <c r="N411" s="36">
        <f>IF(OR(H411="",I411="",K411="Cancelado"),0,I411*N(M411))</f>
        <v/>
      </c>
      <c r="O411" s="37">
        <f>IF(ISNUMBER(A411),MONTH(A411),"")</f>
        <v/>
      </c>
      <c r="P411" s="37">
        <f>IF(ISNUMBER(A411),YEAR(A411),"")</f>
        <v/>
      </c>
    </row>
    <row r="412">
      <c r="A412" s="32" t="n"/>
      <c r="B412" s="33" t="n"/>
      <c r="C412" s="33" t="n"/>
      <c r="D412" s="33" t="n"/>
      <c r="E412" s="33" t="n"/>
      <c r="F412" s="33" t="n"/>
      <c r="G412" s="33" t="n"/>
      <c r="H412" s="33" t="n"/>
      <c r="I412" s="34" t="n"/>
      <c r="J412" s="33" t="n"/>
      <c r="K412" s="33" t="n"/>
      <c r="L412" s="33" t="n"/>
      <c r="M412" s="35">
        <f>IF(H412="","",IFERROR(INDEX(Parceiros!$E$5:$E$54,MATCH(H412,Parceiros!$A$5:$A$54,0)),0))</f>
        <v/>
      </c>
      <c r="N412" s="36">
        <f>IF(OR(H412="",I412="",K412="Cancelado"),0,I412*N(M412))</f>
        <v/>
      </c>
      <c r="O412" s="37">
        <f>IF(ISNUMBER(A412),MONTH(A412),"")</f>
        <v/>
      </c>
      <c r="P412" s="37">
        <f>IF(ISNUMBER(A412),YEAR(A412),"")</f>
        <v/>
      </c>
    </row>
    <row r="413">
      <c r="A413" s="32" t="n"/>
      <c r="B413" s="33" t="n"/>
      <c r="C413" s="33" t="n"/>
      <c r="D413" s="33" t="n"/>
      <c r="E413" s="33" t="n"/>
      <c r="F413" s="33" t="n"/>
      <c r="G413" s="33" t="n"/>
      <c r="H413" s="33" t="n"/>
      <c r="I413" s="34" t="n"/>
      <c r="J413" s="33" t="n"/>
      <c r="K413" s="33" t="n"/>
      <c r="L413" s="33" t="n"/>
      <c r="M413" s="35">
        <f>IF(H413="","",IFERROR(INDEX(Parceiros!$E$5:$E$54,MATCH(H413,Parceiros!$A$5:$A$54,0)),0))</f>
        <v/>
      </c>
      <c r="N413" s="36">
        <f>IF(OR(H413="",I413="",K413="Cancelado"),0,I413*N(M413))</f>
        <v/>
      </c>
      <c r="O413" s="37">
        <f>IF(ISNUMBER(A413),MONTH(A413),"")</f>
        <v/>
      </c>
      <c r="P413" s="37">
        <f>IF(ISNUMBER(A413),YEAR(A413),"")</f>
        <v/>
      </c>
    </row>
    <row r="414">
      <c r="A414" s="32" t="n"/>
      <c r="B414" s="33" t="n"/>
      <c r="C414" s="33" t="n"/>
      <c r="D414" s="33" t="n"/>
      <c r="E414" s="33" t="n"/>
      <c r="F414" s="33" t="n"/>
      <c r="G414" s="33" t="n"/>
      <c r="H414" s="33" t="n"/>
      <c r="I414" s="34" t="n"/>
      <c r="J414" s="33" t="n"/>
      <c r="K414" s="33" t="n"/>
      <c r="L414" s="33" t="n"/>
      <c r="M414" s="35">
        <f>IF(H414="","",IFERROR(INDEX(Parceiros!$E$5:$E$54,MATCH(H414,Parceiros!$A$5:$A$54,0)),0))</f>
        <v/>
      </c>
      <c r="N414" s="36">
        <f>IF(OR(H414="",I414="",K414="Cancelado"),0,I414*N(M414))</f>
        <v/>
      </c>
      <c r="O414" s="37">
        <f>IF(ISNUMBER(A414),MONTH(A414),"")</f>
        <v/>
      </c>
      <c r="P414" s="37">
        <f>IF(ISNUMBER(A414),YEAR(A414),"")</f>
        <v/>
      </c>
    </row>
    <row r="415">
      <c r="A415" s="32" t="n"/>
      <c r="B415" s="33" t="n"/>
      <c r="C415" s="33" t="n"/>
      <c r="D415" s="33" t="n"/>
      <c r="E415" s="33" t="n"/>
      <c r="F415" s="33" t="n"/>
      <c r="G415" s="33" t="n"/>
      <c r="H415" s="33" t="n"/>
      <c r="I415" s="34" t="n"/>
      <c r="J415" s="33" t="n"/>
      <c r="K415" s="33" t="n"/>
      <c r="L415" s="33" t="n"/>
      <c r="M415" s="35">
        <f>IF(H415="","",IFERROR(INDEX(Parceiros!$E$5:$E$54,MATCH(H415,Parceiros!$A$5:$A$54,0)),0))</f>
        <v/>
      </c>
      <c r="N415" s="36">
        <f>IF(OR(H415="",I415="",K415="Cancelado"),0,I415*N(M415))</f>
        <v/>
      </c>
      <c r="O415" s="37">
        <f>IF(ISNUMBER(A415),MONTH(A415),"")</f>
        <v/>
      </c>
      <c r="P415" s="37">
        <f>IF(ISNUMBER(A415),YEAR(A415),"")</f>
        <v/>
      </c>
    </row>
    <row r="416">
      <c r="A416" s="32" t="n"/>
      <c r="B416" s="33" t="n"/>
      <c r="C416" s="33" t="n"/>
      <c r="D416" s="33" t="n"/>
      <c r="E416" s="33" t="n"/>
      <c r="F416" s="33" t="n"/>
      <c r="G416" s="33" t="n"/>
      <c r="H416" s="33" t="n"/>
      <c r="I416" s="34" t="n"/>
      <c r="J416" s="33" t="n"/>
      <c r="K416" s="33" t="n"/>
      <c r="L416" s="33" t="n"/>
      <c r="M416" s="35">
        <f>IF(H416="","",IFERROR(INDEX(Parceiros!$E$5:$E$54,MATCH(H416,Parceiros!$A$5:$A$54,0)),0))</f>
        <v/>
      </c>
      <c r="N416" s="36">
        <f>IF(OR(H416="",I416="",K416="Cancelado"),0,I416*N(M416))</f>
        <v/>
      </c>
      <c r="O416" s="37">
        <f>IF(ISNUMBER(A416),MONTH(A416),"")</f>
        <v/>
      </c>
      <c r="P416" s="37">
        <f>IF(ISNUMBER(A416),YEAR(A416),"")</f>
        <v/>
      </c>
    </row>
    <row r="417">
      <c r="A417" s="32" t="n"/>
      <c r="B417" s="33" t="n"/>
      <c r="C417" s="33" t="n"/>
      <c r="D417" s="33" t="n"/>
      <c r="E417" s="33" t="n"/>
      <c r="F417" s="33" t="n"/>
      <c r="G417" s="33" t="n"/>
      <c r="H417" s="33" t="n"/>
      <c r="I417" s="34" t="n"/>
      <c r="J417" s="33" t="n"/>
      <c r="K417" s="33" t="n"/>
      <c r="L417" s="33" t="n"/>
      <c r="M417" s="35">
        <f>IF(H417="","",IFERROR(INDEX(Parceiros!$E$5:$E$54,MATCH(H417,Parceiros!$A$5:$A$54,0)),0))</f>
        <v/>
      </c>
      <c r="N417" s="36">
        <f>IF(OR(H417="",I417="",K417="Cancelado"),0,I417*N(M417))</f>
        <v/>
      </c>
      <c r="O417" s="37">
        <f>IF(ISNUMBER(A417),MONTH(A417),"")</f>
        <v/>
      </c>
      <c r="P417" s="37">
        <f>IF(ISNUMBER(A417),YEAR(A417),"")</f>
        <v/>
      </c>
    </row>
    <row r="418">
      <c r="A418" s="32" t="n"/>
      <c r="B418" s="33" t="n"/>
      <c r="C418" s="33" t="n"/>
      <c r="D418" s="33" t="n"/>
      <c r="E418" s="33" t="n"/>
      <c r="F418" s="33" t="n"/>
      <c r="G418" s="33" t="n"/>
      <c r="H418" s="33" t="n"/>
      <c r="I418" s="34" t="n"/>
      <c r="J418" s="33" t="n"/>
      <c r="K418" s="33" t="n"/>
      <c r="L418" s="33" t="n"/>
      <c r="M418" s="35">
        <f>IF(H418="","",IFERROR(INDEX(Parceiros!$E$5:$E$54,MATCH(H418,Parceiros!$A$5:$A$54,0)),0))</f>
        <v/>
      </c>
      <c r="N418" s="36">
        <f>IF(OR(H418="",I418="",K418="Cancelado"),0,I418*N(M418))</f>
        <v/>
      </c>
      <c r="O418" s="37">
        <f>IF(ISNUMBER(A418),MONTH(A418),"")</f>
        <v/>
      </c>
      <c r="P418" s="37">
        <f>IF(ISNUMBER(A418),YEAR(A418),"")</f>
        <v/>
      </c>
    </row>
    <row r="419">
      <c r="A419" s="32" t="n"/>
      <c r="B419" s="33" t="n"/>
      <c r="C419" s="33" t="n"/>
      <c r="D419" s="33" t="n"/>
      <c r="E419" s="33" t="n"/>
      <c r="F419" s="33" t="n"/>
      <c r="G419" s="33" t="n"/>
      <c r="H419" s="33" t="n"/>
      <c r="I419" s="34" t="n"/>
      <c r="J419" s="33" t="n"/>
      <c r="K419" s="33" t="n"/>
      <c r="L419" s="33" t="n"/>
      <c r="M419" s="35">
        <f>IF(H419="","",IFERROR(INDEX(Parceiros!$E$5:$E$54,MATCH(H419,Parceiros!$A$5:$A$54,0)),0))</f>
        <v/>
      </c>
      <c r="N419" s="36">
        <f>IF(OR(H419="",I419="",K419="Cancelado"),0,I419*N(M419))</f>
        <v/>
      </c>
      <c r="O419" s="37">
        <f>IF(ISNUMBER(A419),MONTH(A419),"")</f>
        <v/>
      </c>
      <c r="P419" s="37">
        <f>IF(ISNUMBER(A419),YEAR(A419),"")</f>
        <v/>
      </c>
    </row>
    <row r="420">
      <c r="A420" s="32" t="n"/>
      <c r="B420" s="33" t="n"/>
      <c r="C420" s="33" t="n"/>
      <c r="D420" s="33" t="n"/>
      <c r="E420" s="33" t="n"/>
      <c r="F420" s="33" t="n"/>
      <c r="G420" s="33" t="n"/>
      <c r="H420" s="33" t="n"/>
      <c r="I420" s="34" t="n"/>
      <c r="J420" s="33" t="n"/>
      <c r="K420" s="33" t="n"/>
      <c r="L420" s="33" t="n"/>
      <c r="M420" s="35">
        <f>IF(H420="","",IFERROR(INDEX(Parceiros!$E$5:$E$54,MATCH(H420,Parceiros!$A$5:$A$54,0)),0))</f>
        <v/>
      </c>
      <c r="N420" s="36">
        <f>IF(OR(H420="",I420="",K420="Cancelado"),0,I420*N(M420))</f>
        <v/>
      </c>
      <c r="O420" s="37">
        <f>IF(ISNUMBER(A420),MONTH(A420),"")</f>
        <v/>
      </c>
      <c r="P420" s="37">
        <f>IF(ISNUMBER(A420),YEAR(A420),"")</f>
        <v/>
      </c>
    </row>
    <row r="421">
      <c r="A421" s="32" t="n"/>
      <c r="B421" s="33" t="n"/>
      <c r="C421" s="33" t="n"/>
      <c r="D421" s="33" t="n"/>
      <c r="E421" s="33" t="n"/>
      <c r="F421" s="33" t="n"/>
      <c r="G421" s="33" t="n"/>
      <c r="H421" s="33" t="n"/>
      <c r="I421" s="34" t="n"/>
      <c r="J421" s="33" t="n"/>
      <c r="K421" s="33" t="n"/>
      <c r="L421" s="33" t="n"/>
      <c r="M421" s="35">
        <f>IF(H421="","",IFERROR(INDEX(Parceiros!$E$5:$E$54,MATCH(H421,Parceiros!$A$5:$A$54,0)),0))</f>
        <v/>
      </c>
      <c r="N421" s="36">
        <f>IF(OR(H421="",I421="",K421="Cancelado"),0,I421*N(M421))</f>
        <v/>
      </c>
      <c r="O421" s="37">
        <f>IF(ISNUMBER(A421),MONTH(A421),"")</f>
        <v/>
      </c>
      <c r="P421" s="37">
        <f>IF(ISNUMBER(A421),YEAR(A421),"")</f>
        <v/>
      </c>
    </row>
    <row r="422">
      <c r="A422" s="32" t="n"/>
      <c r="B422" s="33" t="n"/>
      <c r="C422" s="33" t="n"/>
      <c r="D422" s="33" t="n"/>
      <c r="E422" s="33" t="n"/>
      <c r="F422" s="33" t="n"/>
      <c r="G422" s="33" t="n"/>
      <c r="H422" s="33" t="n"/>
      <c r="I422" s="34" t="n"/>
      <c r="J422" s="33" t="n"/>
      <c r="K422" s="33" t="n"/>
      <c r="L422" s="33" t="n"/>
      <c r="M422" s="35">
        <f>IF(H422="","",IFERROR(INDEX(Parceiros!$E$5:$E$54,MATCH(H422,Parceiros!$A$5:$A$54,0)),0))</f>
        <v/>
      </c>
      <c r="N422" s="36">
        <f>IF(OR(H422="",I422="",K422="Cancelado"),0,I422*N(M422))</f>
        <v/>
      </c>
      <c r="O422" s="37">
        <f>IF(ISNUMBER(A422),MONTH(A422),"")</f>
        <v/>
      </c>
      <c r="P422" s="37">
        <f>IF(ISNUMBER(A422),YEAR(A422),"")</f>
        <v/>
      </c>
    </row>
    <row r="423">
      <c r="A423" s="32" t="n"/>
      <c r="B423" s="33" t="n"/>
      <c r="C423" s="33" t="n"/>
      <c r="D423" s="33" t="n"/>
      <c r="E423" s="33" t="n"/>
      <c r="F423" s="33" t="n"/>
      <c r="G423" s="33" t="n"/>
      <c r="H423" s="33" t="n"/>
      <c r="I423" s="34" t="n"/>
      <c r="J423" s="33" t="n"/>
      <c r="K423" s="33" t="n"/>
      <c r="L423" s="33" t="n"/>
      <c r="M423" s="35">
        <f>IF(H423="","",IFERROR(INDEX(Parceiros!$E$5:$E$54,MATCH(H423,Parceiros!$A$5:$A$54,0)),0))</f>
        <v/>
      </c>
      <c r="N423" s="36">
        <f>IF(OR(H423="",I423="",K423="Cancelado"),0,I423*N(M423))</f>
        <v/>
      </c>
      <c r="O423" s="37">
        <f>IF(ISNUMBER(A423),MONTH(A423),"")</f>
        <v/>
      </c>
      <c r="P423" s="37">
        <f>IF(ISNUMBER(A423),YEAR(A423),"")</f>
        <v/>
      </c>
    </row>
    <row r="424">
      <c r="A424" s="32" t="n"/>
      <c r="B424" s="33" t="n"/>
      <c r="C424" s="33" t="n"/>
      <c r="D424" s="33" t="n"/>
      <c r="E424" s="33" t="n"/>
      <c r="F424" s="33" t="n"/>
      <c r="G424" s="33" t="n"/>
      <c r="H424" s="33" t="n"/>
      <c r="I424" s="34" t="n"/>
      <c r="J424" s="33" t="n"/>
      <c r="K424" s="33" t="n"/>
      <c r="L424" s="33" t="n"/>
      <c r="M424" s="35">
        <f>IF(H424="","",IFERROR(INDEX(Parceiros!$E$5:$E$54,MATCH(H424,Parceiros!$A$5:$A$54,0)),0))</f>
        <v/>
      </c>
      <c r="N424" s="36">
        <f>IF(OR(H424="",I424="",K424="Cancelado"),0,I424*N(M424))</f>
        <v/>
      </c>
      <c r="O424" s="37">
        <f>IF(ISNUMBER(A424),MONTH(A424),"")</f>
        <v/>
      </c>
      <c r="P424" s="37">
        <f>IF(ISNUMBER(A424),YEAR(A424),"")</f>
        <v/>
      </c>
    </row>
    <row r="425">
      <c r="A425" s="32" t="n"/>
      <c r="B425" s="33" t="n"/>
      <c r="C425" s="33" t="n"/>
      <c r="D425" s="33" t="n"/>
      <c r="E425" s="33" t="n"/>
      <c r="F425" s="33" t="n"/>
      <c r="G425" s="33" t="n"/>
      <c r="H425" s="33" t="n"/>
      <c r="I425" s="34" t="n"/>
      <c r="J425" s="33" t="n"/>
      <c r="K425" s="33" t="n"/>
      <c r="L425" s="33" t="n"/>
      <c r="M425" s="35">
        <f>IF(H425="","",IFERROR(INDEX(Parceiros!$E$5:$E$54,MATCH(H425,Parceiros!$A$5:$A$54,0)),0))</f>
        <v/>
      </c>
      <c r="N425" s="36">
        <f>IF(OR(H425="",I425="",K425="Cancelado"),0,I425*N(M425))</f>
        <v/>
      </c>
      <c r="O425" s="37">
        <f>IF(ISNUMBER(A425),MONTH(A425),"")</f>
        <v/>
      </c>
      <c r="P425" s="37">
        <f>IF(ISNUMBER(A425),YEAR(A425),"")</f>
        <v/>
      </c>
    </row>
    <row r="426">
      <c r="A426" s="32" t="n"/>
      <c r="B426" s="33" t="n"/>
      <c r="C426" s="33" t="n"/>
      <c r="D426" s="33" t="n"/>
      <c r="E426" s="33" t="n"/>
      <c r="F426" s="33" t="n"/>
      <c r="G426" s="33" t="n"/>
      <c r="H426" s="33" t="n"/>
      <c r="I426" s="34" t="n"/>
      <c r="J426" s="33" t="n"/>
      <c r="K426" s="33" t="n"/>
      <c r="L426" s="33" t="n"/>
      <c r="M426" s="35">
        <f>IF(H426="","",IFERROR(INDEX(Parceiros!$E$5:$E$54,MATCH(H426,Parceiros!$A$5:$A$54,0)),0))</f>
        <v/>
      </c>
      <c r="N426" s="36">
        <f>IF(OR(H426="",I426="",K426="Cancelado"),0,I426*N(M426))</f>
        <v/>
      </c>
      <c r="O426" s="37">
        <f>IF(ISNUMBER(A426),MONTH(A426),"")</f>
        <v/>
      </c>
      <c r="P426" s="37">
        <f>IF(ISNUMBER(A426),YEAR(A426),"")</f>
        <v/>
      </c>
    </row>
    <row r="427">
      <c r="A427" s="32" t="n"/>
      <c r="B427" s="33" t="n"/>
      <c r="C427" s="33" t="n"/>
      <c r="D427" s="33" t="n"/>
      <c r="E427" s="33" t="n"/>
      <c r="F427" s="33" t="n"/>
      <c r="G427" s="33" t="n"/>
      <c r="H427" s="33" t="n"/>
      <c r="I427" s="34" t="n"/>
      <c r="J427" s="33" t="n"/>
      <c r="K427" s="33" t="n"/>
      <c r="L427" s="33" t="n"/>
      <c r="M427" s="35">
        <f>IF(H427="","",IFERROR(INDEX(Parceiros!$E$5:$E$54,MATCH(H427,Parceiros!$A$5:$A$54,0)),0))</f>
        <v/>
      </c>
      <c r="N427" s="36">
        <f>IF(OR(H427="",I427="",K427="Cancelado"),0,I427*N(M427))</f>
        <v/>
      </c>
      <c r="O427" s="37">
        <f>IF(ISNUMBER(A427),MONTH(A427),"")</f>
        <v/>
      </c>
      <c r="P427" s="37">
        <f>IF(ISNUMBER(A427),YEAR(A427),"")</f>
        <v/>
      </c>
    </row>
    <row r="428">
      <c r="A428" s="32" t="n"/>
      <c r="B428" s="33" t="n"/>
      <c r="C428" s="33" t="n"/>
      <c r="D428" s="33" t="n"/>
      <c r="E428" s="33" t="n"/>
      <c r="F428" s="33" t="n"/>
      <c r="G428" s="33" t="n"/>
      <c r="H428" s="33" t="n"/>
      <c r="I428" s="34" t="n"/>
      <c r="J428" s="33" t="n"/>
      <c r="K428" s="33" t="n"/>
      <c r="L428" s="33" t="n"/>
      <c r="M428" s="35">
        <f>IF(H428="","",IFERROR(INDEX(Parceiros!$E$5:$E$54,MATCH(H428,Parceiros!$A$5:$A$54,0)),0))</f>
        <v/>
      </c>
      <c r="N428" s="36">
        <f>IF(OR(H428="",I428="",K428="Cancelado"),0,I428*N(M428))</f>
        <v/>
      </c>
      <c r="O428" s="37">
        <f>IF(ISNUMBER(A428),MONTH(A428),"")</f>
        <v/>
      </c>
      <c r="P428" s="37">
        <f>IF(ISNUMBER(A428),YEAR(A428),"")</f>
        <v/>
      </c>
    </row>
    <row r="429">
      <c r="A429" s="32" t="n"/>
      <c r="B429" s="33" t="n"/>
      <c r="C429" s="33" t="n"/>
      <c r="D429" s="33" t="n"/>
      <c r="E429" s="33" t="n"/>
      <c r="F429" s="33" t="n"/>
      <c r="G429" s="33" t="n"/>
      <c r="H429" s="33" t="n"/>
      <c r="I429" s="34" t="n"/>
      <c r="J429" s="33" t="n"/>
      <c r="K429" s="33" t="n"/>
      <c r="L429" s="33" t="n"/>
      <c r="M429" s="35">
        <f>IF(H429="","",IFERROR(INDEX(Parceiros!$E$5:$E$54,MATCH(H429,Parceiros!$A$5:$A$54,0)),0))</f>
        <v/>
      </c>
      <c r="N429" s="36">
        <f>IF(OR(H429="",I429="",K429="Cancelado"),0,I429*N(M429))</f>
        <v/>
      </c>
      <c r="O429" s="37">
        <f>IF(ISNUMBER(A429),MONTH(A429),"")</f>
        <v/>
      </c>
      <c r="P429" s="37">
        <f>IF(ISNUMBER(A429),YEAR(A429),"")</f>
        <v/>
      </c>
    </row>
    <row r="430">
      <c r="A430" s="32" t="n"/>
      <c r="B430" s="33" t="n"/>
      <c r="C430" s="33" t="n"/>
      <c r="D430" s="33" t="n"/>
      <c r="E430" s="33" t="n"/>
      <c r="F430" s="33" t="n"/>
      <c r="G430" s="33" t="n"/>
      <c r="H430" s="33" t="n"/>
      <c r="I430" s="34" t="n"/>
      <c r="J430" s="33" t="n"/>
      <c r="K430" s="33" t="n"/>
      <c r="L430" s="33" t="n"/>
      <c r="M430" s="35">
        <f>IF(H430="","",IFERROR(INDEX(Parceiros!$E$5:$E$54,MATCH(H430,Parceiros!$A$5:$A$54,0)),0))</f>
        <v/>
      </c>
      <c r="N430" s="36">
        <f>IF(OR(H430="",I430="",K430="Cancelado"),0,I430*N(M430))</f>
        <v/>
      </c>
      <c r="O430" s="37">
        <f>IF(ISNUMBER(A430),MONTH(A430),"")</f>
        <v/>
      </c>
      <c r="P430" s="37">
        <f>IF(ISNUMBER(A430),YEAR(A430),"")</f>
        <v/>
      </c>
    </row>
    <row r="431">
      <c r="A431" s="32" t="n"/>
      <c r="B431" s="33" t="n"/>
      <c r="C431" s="33" t="n"/>
      <c r="D431" s="33" t="n"/>
      <c r="E431" s="33" t="n"/>
      <c r="F431" s="33" t="n"/>
      <c r="G431" s="33" t="n"/>
      <c r="H431" s="33" t="n"/>
      <c r="I431" s="34" t="n"/>
      <c r="J431" s="33" t="n"/>
      <c r="K431" s="33" t="n"/>
      <c r="L431" s="33" t="n"/>
      <c r="M431" s="35">
        <f>IF(H431="","",IFERROR(INDEX(Parceiros!$E$5:$E$54,MATCH(H431,Parceiros!$A$5:$A$54,0)),0))</f>
        <v/>
      </c>
      <c r="N431" s="36">
        <f>IF(OR(H431="",I431="",K431="Cancelado"),0,I431*N(M431))</f>
        <v/>
      </c>
      <c r="O431" s="37">
        <f>IF(ISNUMBER(A431),MONTH(A431),"")</f>
        <v/>
      </c>
      <c r="P431" s="37">
        <f>IF(ISNUMBER(A431),YEAR(A431),"")</f>
        <v/>
      </c>
    </row>
    <row r="432">
      <c r="A432" s="32" t="n"/>
      <c r="B432" s="33" t="n"/>
      <c r="C432" s="33" t="n"/>
      <c r="D432" s="33" t="n"/>
      <c r="E432" s="33" t="n"/>
      <c r="F432" s="33" t="n"/>
      <c r="G432" s="33" t="n"/>
      <c r="H432" s="33" t="n"/>
      <c r="I432" s="34" t="n"/>
      <c r="J432" s="33" t="n"/>
      <c r="K432" s="33" t="n"/>
      <c r="L432" s="33" t="n"/>
      <c r="M432" s="35">
        <f>IF(H432="","",IFERROR(INDEX(Parceiros!$E$5:$E$54,MATCH(H432,Parceiros!$A$5:$A$54,0)),0))</f>
        <v/>
      </c>
      <c r="N432" s="36">
        <f>IF(OR(H432="",I432="",K432="Cancelado"),0,I432*N(M432))</f>
        <v/>
      </c>
      <c r="O432" s="37">
        <f>IF(ISNUMBER(A432),MONTH(A432),"")</f>
        <v/>
      </c>
      <c r="P432" s="37">
        <f>IF(ISNUMBER(A432),YEAR(A432),"")</f>
        <v/>
      </c>
    </row>
    <row r="433">
      <c r="A433" s="32" t="n"/>
      <c r="B433" s="33" t="n"/>
      <c r="C433" s="33" t="n"/>
      <c r="D433" s="33" t="n"/>
      <c r="E433" s="33" t="n"/>
      <c r="F433" s="33" t="n"/>
      <c r="G433" s="33" t="n"/>
      <c r="H433" s="33" t="n"/>
      <c r="I433" s="34" t="n"/>
      <c r="J433" s="33" t="n"/>
      <c r="K433" s="33" t="n"/>
      <c r="L433" s="33" t="n"/>
      <c r="M433" s="35">
        <f>IF(H433="","",IFERROR(INDEX(Parceiros!$E$5:$E$54,MATCH(H433,Parceiros!$A$5:$A$54,0)),0))</f>
        <v/>
      </c>
      <c r="N433" s="36">
        <f>IF(OR(H433="",I433="",K433="Cancelado"),0,I433*N(M433))</f>
        <v/>
      </c>
      <c r="O433" s="37">
        <f>IF(ISNUMBER(A433),MONTH(A433),"")</f>
        <v/>
      </c>
      <c r="P433" s="37">
        <f>IF(ISNUMBER(A433),YEAR(A433),"")</f>
        <v/>
      </c>
    </row>
    <row r="434">
      <c r="A434" s="32" t="n"/>
      <c r="B434" s="33" t="n"/>
      <c r="C434" s="33" t="n"/>
      <c r="D434" s="33" t="n"/>
      <c r="E434" s="33" t="n"/>
      <c r="F434" s="33" t="n"/>
      <c r="G434" s="33" t="n"/>
      <c r="H434" s="33" t="n"/>
      <c r="I434" s="34" t="n"/>
      <c r="J434" s="33" t="n"/>
      <c r="K434" s="33" t="n"/>
      <c r="L434" s="33" t="n"/>
      <c r="M434" s="35">
        <f>IF(H434="","",IFERROR(INDEX(Parceiros!$E$5:$E$54,MATCH(H434,Parceiros!$A$5:$A$54,0)),0))</f>
        <v/>
      </c>
      <c r="N434" s="36">
        <f>IF(OR(H434="",I434="",K434="Cancelado"),0,I434*N(M434))</f>
        <v/>
      </c>
      <c r="O434" s="37">
        <f>IF(ISNUMBER(A434),MONTH(A434),"")</f>
        <v/>
      </c>
      <c r="P434" s="37">
        <f>IF(ISNUMBER(A434),YEAR(A434),"")</f>
        <v/>
      </c>
    </row>
    <row r="435">
      <c r="A435" s="32" t="n"/>
      <c r="B435" s="33" t="n"/>
      <c r="C435" s="33" t="n"/>
      <c r="D435" s="33" t="n"/>
      <c r="E435" s="33" t="n"/>
      <c r="F435" s="33" t="n"/>
      <c r="G435" s="33" t="n"/>
      <c r="H435" s="33" t="n"/>
      <c r="I435" s="34" t="n"/>
      <c r="J435" s="33" t="n"/>
      <c r="K435" s="33" t="n"/>
      <c r="L435" s="33" t="n"/>
      <c r="M435" s="35">
        <f>IF(H435="","",IFERROR(INDEX(Parceiros!$E$5:$E$54,MATCH(H435,Parceiros!$A$5:$A$54,0)),0))</f>
        <v/>
      </c>
      <c r="N435" s="36">
        <f>IF(OR(H435="",I435="",K435="Cancelado"),0,I435*N(M435))</f>
        <v/>
      </c>
      <c r="O435" s="37">
        <f>IF(ISNUMBER(A435),MONTH(A435),"")</f>
        <v/>
      </c>
      <c r="P435" s="37">
        <f>IF(ISNUMBER(A435),YEAR(A435),"")</f>
        <v/>
      </c>
    </row>
    <row r="436">
      <c r="A436" s="32" t="n"/>
      <c r="B436" s="33" t="n"/>
      <c r="C436" s="33" t="n"/>
      <c r="D436" s="33" t="n"/>
      <c r="E436" s="33" t="n"/>
      <c r="F436" s="33" t="n"/>
      <c r="G436" s="33" t="n"/>
      <c r="H436" s="33" t="n"/>
      <c r="I436" s="34" t="n"/>
      <c r="J436" s="33" t="n"/>
      <c r="K436" s="33" t="n"/>
      <c r="L436" s="33" t="n"/>
      <c r="M436" s="35">
        <f>IF(H436="","",IFERROR(INDEX(Parceiros!$E$5:$E$54,MATCH(H436,Parceiros!$A$5:$A$54,0)),0))</f>
        <v/>
      </c>
      <c r="N436" s="36">
        <f>IF(OR(H436="",I436="",K436="Cancelado"),0,I436*N(M436))</f>
        <v/>
      </c>
      <c r="O436" s="37">
        <f>IF(ISNUMBER(A436),MONTH(A436),"")</f>
        <v/>
      </c>
      <c r="P436" s="37">
        <f>IF(ISNUMBER(A436),YEAR(A436),"")</f>
        <v/>
      </c>
    </row>
    <row r="437">
      <c r="A437" s="32" t="n"/>
      <c r="B437" s="33" t="n"/>
      <c r="C437" s="33" t="n"/>
      <c r="D437" s="33" t="n"/>
      <c r="E437" s="33" t="n"/>
      <c r="F437" s="33" t="n"/>
      <c r="G437" s="33" t="n"/>
      <c r="H437" s="33" t="n"/>
      <c r="I437" s="34" t="n"/>
      <c r="J437" s="33" t="n"/>
      <c r="K437" s="33" t="n"/>
      <c r="L437" s="33" t="n"/>
      <c r="M437" s="35">
        <f>IF(H437="","",IFERROR(INDEX(Parceiros!$E$5:$E$54,MATCH(H437,Parceiros!$A$5:$A$54,0)),0))</f>
        <v/>
      </c>
      <c r="N437" s="36">
        <f>IF(OR(H437="",I437="",K437="Cancelado"),0,I437*N(M437))</f>
        <v/>
      </c>
      <c r="O437" s="37">
        <f>IF(ISNUMBER(A437),MONTH(A437),"")</f>
        <v/>
      </c>
      <c r="P437" s="37">
        <f>IF(ISNUMBER(A437),YEAR(A437),"")</f>
        <v/>
      </c>
    </row>
    <row r="438">
      <c r="A438" s="32" t="n"/>
      <c r="B438" s="33" t="n"/>
      <c r="C438" s="33" t="n"/>
      <c r="D438" s="33" t="n"/>
      <c r="E438" s="33" t="n"/>
      <c r="F438" s="33" t="n"/>
      <c r="G438" s="33" t="n"/>
      <c r="H438" s="33" t="n"/>
      <c r="I438" s="34" t="n"/>
      <c r="J438" s="33" t="n"/>
      <c r="K438" s="33" t="n"/>
      <c r="L438" s="33" t="n"/>
      <c r="M438" s="35">
        <f>IF(H438="","",IFERROR(INDEX(Parceiros!$E$5:$E$54,MATCH(H438,Parceiros!$A$5:$A$54,0)),0))</f>
        <v/>
      </c>
      <c r="N438" s="36">
        <f>IF(OR(H438="",I438="",K438="Cancelado"),0,I438*N(M438))</f>
        <v/>
      </c>
      <c r="O438" s="37">
        <f>IF(ISNUMBER(A438),MONTH(A438),"")</f>
        <v/>
      </c>
      <c r="P438" s="37">
        <f>IF(ISNUMBER(A438),YEAR(A438),"")</f>
        <v/>
      </c>
    </row>
    <row r="439">
      <c r="A439" s="32" t="n"/>
      <c r="B439" s="33" t="n"/>
      <c r="C439" s="33" t="n"/>
      <c r="D439" s="33" t="n"/>
      <c r="E439" s="33" t="n"/>
      <c r="F439" s="33" t="n"/>
      <c r="G439" s="33" t="n"/>
      <c r="H439" s="33" t="n"/>
      <c r="I439" s="34" t="n"/>
      <c r="J439" s="33" t="n"/>
      <c r="K439" s="33" t="n"/>
      <c r="L439" s="33" t="n"/>
      <c r="M439" s="35">
        <f>IF(H439="","",IFERROR(INDEX(Parceiros!$E$5:$E$54,MATCH(H439,Parceiros!$A$5:$A$54,0)),0))</f>
        <v/>
      </c>
      <c r="N439" s="36">
        <f>IF(OR(H439="",I439="",K439="Cancelado"),0,I439*N(M439))</f>
        <v/>
      </c>
      <c r="O439" s="37">
        <f>IF(ISNUMBER(A439),MONTH(A439),"")</f>
        <v/>
      </c>
      <c r="P439" s="37">
        <f>IF(ISNUMBER(A439),YEAR(A439),"")</f>
        <v/>
      </c>
    </row>
    <row r="440">
      <c r="A440" s="32" t="n"/>
      <c r="B440" s="33" t="n"/>
      <c r="C440" s="33" t="n"/>
      <c r="D440" s="33" t="n"/>
      <c r="E440" s="33" t="n"/>
      <c r="F440" s="33" t="n"/>
      <c r="G440" s="33" t="n"/>
      <c r="H440" s="33" t="n"/>
      <c r="I440" s="34" t="n"/>
      <c r="J440" s="33" t="n"/>
      <c r="K440" s="33" t="n"/>
      <c r="L440" s="33" t="n"/>
      <c r="M440" s="35">
        <f>IF(H440="","",IFERROR(INDEX(Parceiros!$E$5:$E$54,MATCH(H440,Parceiros!$A$5:$A$54,0)),0))</f>
        <v/>
      </c>
      <c r="N440" s="36">
        <f>IF(OR(H440="",I440="",K440="Cancelado"),0,I440*N(M440))</f>
        <v/>
      </c>
      <c r="O440" s="37">
        <f>IF(ISNUMBER(A440),MONTH(A440),"")</f>
        <v/>
      </c>
      <c r="P440" s="37">
        <f>IF(ISNUMBER(A440),YEAR(A440),"")</f>
        <v/>
      </c>
    </row>
    <row r="441">
      <c r="A441" s="32" t="n"/>
      <c r="B441" s="33" t="n"/>
      <c r="C441" s="33" t="n"/>
      <c r="D441" s="33" t="n"/>
      <c r="E441" s="33" t="n"/>
      <c r="F441" s="33" t="n"/>
      <c r="G441" s="33" t="n"/>
      <c r="H441" s="33" t="n"/>
      <c r="I441" s="34" t="n"/>
      <c r="J441" s="33" t="n"/>
      <c r="K441" s="33" t="n"/>
      <c r="L441" s="33" t="n"/>
      <c r="M441" s="35">
        <f>IF(H441="","",IFERROR(INDEX(Parceiros!$E$5:$E$54,MATCH(H441,Parceiros!$A$5:$A$54,0)),0))</f>
        <v/>
      </c>
      <c r="N441" s="36">
        <f>IF(OR(H441="",I441="",K441="Cancelado"),0,I441*N(M441))</f>
        <v/>
      </c>
      <c r="O441" s="37">
        <f>IF(ISNUMBER(A441),MONTH(A441),"")</f>
        <v/>
      </c>
      <c r="P441" s="37">
        <f>IF(ISNUMBER(A441),YEAR(A441),"")</f>
        <v/>
      </c>
    </row>
    <row r="442">
      <c r="A442" s="32" t="n"/>
      <c r="B442" s="33" t="n"/>
      <c r="C442" s="33" t="n"/>
      <c r="D442" s="33" t="n"/>
      <c r="E442" s="33" t="n"/>
      <c r="F442" s="33" t="n"/>
      <c r="G442" s="33" t="n"/>
      <c r="H442" s="33" t="n"/>
      <c r="I442" s="34" t="n"/>
      <c r="J442" s="33" t="n"/>
      <c r="K442" s="33" t="n"/>
      <c r="L442" s="33" t="n"/>
      <c r="M442" s="35">
        <f>IF(H442="","",IFERROR(INDEX(Parceiros!$E$5:$E$54,MATCH(H442,Parceiros!$A$5:$A$54,0)),0))</f>
        <v/>
      </c>
      <c r="N442" s="36">
        <f>IF(OR(H442="",I442="",K442="Cancelado"),0,I442*N(M442))</f>
        <v/>
      </c>
      <c r="O442" s="37">
        <f>IF(ISNUMBER(A442),MONTH(A442),"")</f>
        <v/>
      </c>
      <c r="P442" s="37">
        <f>IF(ISNUMBER(A442),YEAR(A442),"")</f>
        <v/>
      </c>
    </row>
    <row r="443">
      <c r="A443" s="32" t="n"/>
      <c r="B443" s="33" t="n"/>
      <c r="C443" s="33" t="n"/>
      <c r="D443" s="33" t="n"/>
      <c r="E443" s="33" t="n"/>
      <c r="F443" s="33" t="n"/>
      <c r="G443" s="33" t="n"/>
      <c r="H443" s="33" t="n"/>
      <c r="I443" s="34" t="n"/>
      <c r="J443" s="33" t="n"/>
      <c r="K443" s="33" t="n"/>
      <c r="L443" s="33" t="n"/>
      <c r="M443" s="35">
        <f>IF(H443="","",IFERROR(INDEX(Parceiros!$E$5:$E$54,MATCH(H443,Parceiros!$A$5:$A$54,0)),0))</f>
        <v/>
      </c>
      <c r="N443" s="36">
        <f>IF(OR(H443="",I443="",K443="Cancelado"),0,I443*N(M443))</f>
        <v/>
      </c>
      <c r="O443" s="37">
        <f>IF(ISNUMBER(A443),MONTH(A443),"")</f>
        <v/>
      </c>
      <c r="P443" s="37">
        <f>IF(ISNUMBER(A443),YEAR(A443),"")</f>
        <v/>
      </c>
    </row>
    <row r="444">
      <c r="A444" s="32" t="n"/>
      <c r="B444" s="33" t="n"/>
      <c r="C444" s="33" t="n"/>
      <c r="D444" s="33" t="n"/>
      <c r="E444" s="33" t="n"/>
      <c r="F444" s="33" t="n"/>
      <c r="G444" s="33" t="n"/>
      <c r="H444" s="33" t="n"/>
      <c r="I444" s="34" t="n"/>
      <c r="J444" s="33" t="n"/>
      <c r="K444" s="33" t="n"/>
      <c r="L444" s="33" t="n"/>
      <c r="M444" s="35">
        <f>IF(H444="","",IFERROR(INDEX(Parceiros!$E$5:$E$54,MATCH(H444,Parceiros!$A$5:$A$54,0)),0))</f>
        <v/>
      </c>
      <c r="N444" s="36">
        <f>IF(OR(H444="",I444="",K444="Cancelado"),0,I444*N(M444))</f>
        <v/>
      </c>
      <c r="O444" s="37">
        <f>IF(ISNUMBER(A444),MONTH(A444),"")</f>
        <v/>
      </c>
      <c r="P444" s="37">
        <f>IF(ISNUMBER(A444),YEAR(A444),"")</f>
        <v/>
      </c>
    </row>
    <row r="445">
      <c r="A445" s="32" t="n"/>
      <c r="B445" s="33" t="n"/>
      <c r="C445" s="33" t="n"/>
      <c r="D445" s="33" t="n"/>
      <c r="E445" s="33" t="n"/>
      <c r="F445" s="33" t="n"/>
      <c r="G445" s="33" t="n"/>
      <c r="H445" s="33" t="n"/>
      <c r="I445" s="34" t="n"/>
      <c r="J445" s="33" t="n"/>
      <c r="K445" s="33" t="n"/>
      <c r="L445" s="33" t="n"/>
      <c r="M445" s="35">
        <f>IF(H445="","",IFERROR(INDEX(Parceiros!$E$5:$E$54,MATCH(H445,Parceiros!$A$5:$A$54,0)),0))</f>
        <v/>
      </c>
      <c r="N445" s="36">
        <f>IF(OR(H445="",I445="",K445="Cancelado"),0,I445*N(M445))</f>
        <v/>
      </c>
      <c r="O445" s="37">
        <f>IF(ISNUMBER(A445),MONTH(A445),"")</f>
        <v/>
      </c>
      <c r="P445" s="37">
        <f>IF(ISNUMBER(A445),YEAR(A445),"")</f>
        <v/>
      </c>
    </row>
    <row r="446">
      <c r="A446" s="32" t="n"/>
      <c r="B446" s="33" t="n"/>
      <c r="C446" s="33" t="n"/>
      <c r="D446" s="33" t="n"/>
      <c r="E446" s="33" t="n"/>
      <c r="F446" s="33" t="n"/>
      <c r="G446" s="33" t="n"/>
      <c r="H446" s="33" t="n"/>
      <c r="I446" s="34" t="n"/>
      <c r="J446" s="33" t="n"/>
      <c r="K446" s="33" t="n"/>
      <c r="L446" s="33" t="n"/>
      <c r="M446" s="35">
        <f>IF(H446="","",IFERROR(INDEX(Parceiros!$E$5:$E$54,MATCH(H446,Parceiros!$A$5:$A$54,0)),0))</f>
        <v/>
      </c>
      <c r="N446" s="36">
        <f>IF(OR(H446="",I446="",K446="Cancelado"),0,I446*N(M446))</f>
        <v/>
      </c>
      <c r="O446" s="37">
        <f>IF(ISNUMBER(A446),MONTH(A446),"")</f>
        <v/>
      </c>
      <c r="P446" s="37">
        <f>IF(ISNUMBER(A446),YEAR(A446),"")</f>
        <v/>
      </c>
    </row>
    <row r="447">
      <c r="A447" s="32" t="n"/>
      <c r="B447" s="33" t="n"/>
      <c r="C447" s="33" t="n"/>
      <c r="D447" s="33" t="n"/>
      <c r="E447" s="33" t="n"/>
      <c r="F447" s="33" t="n"/>
      <c r="G447" s="33" t="n"/>
      <c r="H447" s="33" t="n"/>
      <c r="I447" s="34" t="n"/>
      <c r="J447" s="33" t="n"/>
      <c r="K447" s="33" t="n"/>
      <c r="L447" s="33" t="n"/>
      <c r="M447" s="35">
        <f>IF(H447="","",IFERROR(INDEX(Parceiros!$E$5:$E$54,MATCH(H447,Parceiros!$A$5:$A$54,0)),0))</f>
        <v/>
      </c>
      <c r="N447" s="36">
        <f>IF(OR(H447="",I447="",K447="Cancelado"),0,I447*N(M447))</f>
        <v/>
      </c>
      <c r="O447" s="37">
        <f>IF(ISNUMBER(A447),MONTH(A447),"")</f>
        <v/>
      </c>
      <c r="P447" s="37">
        <f>IF(ISNUMBER(A447),YEAR(A447),"")</f>
        <v/>
      </c>
    </row>
    <row r="448">
      <c r="A448" s="32" t="n"/>
      <c r="B448" s="33" t="n"/>
      <c r="C448" s="33" t="n"/>
      <c r="D448" s="33" t="n"/>
      <c r="E448" s="33" t="n"/>
      <c r="F448" s="33" t="n"/>
      <c r="G448" s="33" t="n"/>
      <c r="H448" s="33" t="n"/>
      <c r="I448" s="34" t="n"/>
      <c r="J448" s="33" t="n"/>
      <c r="K448" s="33" t="n"/>
      <c r="L448" s="33" t="n"/>
      <c r="M448" s="35">
        <f>IF(H448="","",IFERROR(INDEX(Parceiros!$E$5:$E$54,MATCH(H448,Parceiros!$A$5:$A$54,0)),0))</f>
        <v/>
      </c>
      <c r="N448" s="36">
        <f>IF(OR(H448="",I448="",K448="Cancelado"),0,I448*N(M448))</f>
        <v/>
      </c>
      <c r="O448" s="37">
        <f>IF(ISNUMBER(A448),MONTH(A448),"")</f>
        <v/>
      </c>
      <c r="P448" s="37">
        <f>IF(ISNUMBER(A448),YEAR(A448),"")</f>
        <v/>
      </c>
    </row>
    <row r="449">
      <c r="A449" s="32" t="n"/>
      <c r="B449" s="33" t="n"/>
      <c r="C449" s="33" t="n"/>
      <c r="D449" s="33" t="n"/>
      <c r="E449" s="33" t="n"/>
      <c r="F449" s="33" t="n"/>
      <c r="G449" s="33" t="n"/>
      <c r="H449" s="33" t="n"/>
      <c r="I449" s="34" t="n"/>
      <c r="J449" s="33" t="n"/>
      <c r="K449" s="33" t="n"/>
      <c r="L449" s="33" t="n"/>
      <c r="M449" s="35">
        <f>IF(H449="","",IFERROR(INDEX(Parceiros!$E$5:$E$54,MATCH(H449,Parceiros!$A$5:$A$54,0)),0))</f>
        <v/>
      </c>
      <c r="N449" s="36">
        <f>IF(OR(H449="",I449="",K449="Cancelado"),0,I449*N(M449))</f>
        <v/>
      </c>
      <c r="O449" s="37">
        <f>IF(ISNUMBER(A449),MONTH(A449),"")</f>
        <v/>
      </c>
      <c r="P449" s="37">
        <f>IF(ISNUMBER(A449),YEAR(A449),"")</f>
        <v/>
      </c>
    </row>
    <row r="450">
      <c r="A450" s="32" t="n"/>
      <c r="B450" s="33" t="n"/>
      <c r="C450" s="33" t="n"/>
      <c r="D450" s="33" t="n"/>
      <c r="E450" s="33" t="n"/>
      <c r="F450" s="33" t="n"/>
      <c r="G450" s="33" t="n"/>
      <c r="H450" s="33" t="n"/>
      <c r="I450" s="34" t="n"/>
      <c r="J450" s="33" t="n"/>
      <c r="K450" s="33" t="n"/>
      <c r="L450" s="33" t="n"/>
      <c r="M450" s="35">
        <f>IF(H450="","",IFERROR(INDEX(Parceiros!$E$5:$E$54,MATCH(H450,Parceiros!$A$5:$A$54,0)),0))</f>
        <v/>
      </c>
      <c r="N450" s="36">
        <f>IF(OR(H450="",I450="",K450="Cancelado"),0,I450*N(M450))</f>
        <v/>
      </c>
      <c r="O450" s="37">
        <f>IF(ISNUMBER(A450),MONTH(A450),"")</f>
        <v/>
      </c>
      <c r="P450" s="37">
        <f>IF(ISNUMBER(A450),YEAR(A450),"")</f>
        <v/>
      </c>
    </row>
    <row r="451">
      <c r="A451" s="32" t="n"/>
      <c r="B451" s="33" t="n"/>
      <c r="C451" s="33" t="n"/>
      <c r="D451" s="33" t="n"/>
      <c r="E451" s="33" t="n"/>
      <c r="F451" s="33" t="n"/>
      <c r="G451" s="33" t="n"/>
      <c r="H451" s="33" t="n"/>
      <c r="I451" s="34" t="n"/>
      <c r="J451" s="33" t="n"/>
      <c r="K451" s="33" t="n"/>
      <c r="L451" s="33" t="n"/>
      <c r="M451" s="35">
        <f>IF(H451="","",IFERROR(INDEX(Parceiros!$E$5:$E$54,MATCH(H451,Parceiros!$A$5:$A$54,0)),0))</f>
        <v/>
      </c>
      <c r="N451" s="36">
        <f>IF(OR(H451="",I451="",K451="Cancelado"),0,I451*N(M451))</f>
        <v/>
      </c>
      <c r="O451" s="37">
        <f>IF(ISNUMBER(A451),MONTH(A451),"")</f>
        <v/>
      </c>
      <c r="P451" s="37">
        <f>IF(ISNUMBER(A451),YEAR(A451),"")</f>
        <v/>
      </c>
    </row>
    <row r="452">
      <c r="A452" s="32" t="n"/>
      <c r="B452" s="33" t="n"/>
      <c r="C452" s="33" t="n"/>
      <c r="D452" s="33" t="n"/>
      <c r="E452" s="33" t="n"/>
      <c r="F452" s="33" t="n"/>
      <c r="G452" s="33" t="n"/>
      <c r="H452" s="33" t="n"/>
      <c r="I452" s="34" t="n"/>
      <c r="J452" s="33" t="n"/>
      <c r="K452" s="33" t="n"/>
      <c r="L452" s="33" t="n"/>
      <c r="M452" s="35">
        <f>IF(H452="","",IFERROR(INDEX(Parceiros!$E$5:$E$54,MATCH(H452,Parceiros!$A$5:$A$54,0)),0))</f>
        <v/>
      </c>
      <c r="N452" s="36">
        <f>IF(OR(H452="",I452="",K452="Cancelado"),0,I452*N(M452))</f>
        <v/>
      </c>
      <c r="O452" s="37">
        <f>IF(ISNUMBER(A452),MONTH(A452),"")</f>
        <v/>
      </c>
      <c r="P452" s="37">
        <f>IF(ISNUMBER(A452),YEAR(A452),"")</f>
        <v/>
      </c>
    </row>
    <row r="453">
      <c r="A453" s="32" t="n"/>
      <c r="B453" s="33" t="n"/>
      <c r="C453" s="33" t="n"/>
      <c r="D453" s="33" t="n"/>
      <c r="E453" s="33" t="n"/>
      <c r="F453" s="33" t="n"/>
      <c r="G453" s="33" t="n"/>
      <c r="H453" s="33" t="n"/>
      <c r="I453" s="34" t="n"/>
      <c r="J453" s="33" t="n"/>
      <c r="K453" s="33" t="n"/>
      <c r="L453" s="33" t="n"/>
      <c r="M453" s="35">
        <f>IF(H453="","",IFERROR(INDEX(Parceiros!$E$5:$E$54,MATCH(H453,Parceiros!$A$5:$A$54,0)),0))</f>
        <v/>
      </c>
      <c r="N453" s="36">
        <f>IF(OR(H453="",I453="",K453="Cancelado"),0,I453*N(M453))</f>
        <v/>
      </c>
      <c r="O453" s="37">
        <f>IF(ISNUMBER(A453),MONTH(A453),"")</f>
        <v/>
      </c>
      <c r="P453" s="37">
        <f>IF(ISNUMBER(A453),YEAR(A453),"")</f>
        <v/>
      </c>
    </row>
    <row r="454">
      <c r="A454" s="32" t="n"/>
      <c r="B454" s="33" t="n"/>
      <c r="C454" s="33" t="n"/>
      <c r="D454" s="33" t="n"/>
      <c r="E454" s="33" t="n"/>
      <c r="F454" s="33" t="n"/>
      <c r="G454" s="33" t="n"/>
      <c r="H454" s="33" t="n"/>
      <c r="I454" s="34" t="n"/>
      <c r="J454" s="33" t="n"/>
      <c r="K454" s="33" t="n"/>
      <c r="L454" s="33" t="n"/>
      <c r="M454" s="35">
        <f>IF(H454="","",IFERROR(INDEX(Parceiros!$E$5:$E$54,MATCH(H454,Parceiros!$A$5:$A$54,0)),0))</f>
        <v/>
      </c>
      <c r="N454" s="36">
        <f>IF(OR(H454="",I454="",K454="Cancelado"),0,I454*N(M454))</f>
        <v/>
      </c>
      <c r="O454" s="37">
        <f>IF(ISNUMBER(A454),MONTH(A454),"")</f>
        <v/>
      </c>
      <c r="P454" s="37">
        <f>IF(ISNUMBER(A454),YEAR(A454),"")</f>
        <v/>
      </c>
    </row>
    <row r="455">
      <c r="A455" s="32" t="n"/>
      <c r="B455" s="33" t="n"/>
      <c r="C455" s="33" t="n"/>
      <c r="D455" s="33" t="n"/>
      <c r="E455" s="33" t="n"/>
      <c r="F455" s="33" t="n"/>
      <c r="G455" s="33" t="n"/>
      <c r="H455" s="33" t="n"/>
      <c r="I455" s="34" t="n"/>
      <c r="J455" s="33" t="n"/>
      <c r="K455" s="33" t="n"/>
      <c r="L455" s="33" t="n"/>
      <c r="M455" s="35">
        <f>IF(H455="","",IFERROR(INDEX(Parceiros!$E$5:$E$54,MATCH(H455,Parceiros!$A$5:$A$54,0)),0))</f>
        <v/>
      </c>
      <c r="N455" s="36">
        <f>IF(OR(H455="",I455="",K455="Cancelado"),0,I455*N(M455))</f>
        <v/>
      </c>
      <c r="O455" s="37">
        <f>IF(ISNUMBER(A455),MONTH(A455),"")</f>
        <v/>
      </c>
      <c r="P455" s="37">
        <f>IF(ISNUMBER(A455),YEAR(A455),"")</f>
        <v/>
      </c>
    </row>
    <row r="456">
      <c r="A456" s="32" t="n"/>
      <c r="B456" s="33" t="n"/>
      <c r="C456" s="33" t="n"/>
      <c r="D456" s="33" t="n"/>
      <c r="E456" s="33" t="n"/>
      <c r="F456" s="33" t="n"/>
      <c r="G456" s="33" t="n"/>
      <c r="H456" s="33" t="n"/>
      <c r="I456" s="34" t="n"/>
      <c r="J456" s="33" t="n"/>
      <c r="K456" s="33" t="n"/>
      <c r="L456" s="33" t="n"/>
      <c r="M456" s="35">
        <f>IF(H456="","",IFERROR(INDEX(Parceiros!$E$5:$E$54,MATCH(H456,Parceiros!$A$5:$A$54,0)),0))</f>
        <v/>
      </c>
      <c r="N456" s="36">
        <f>IF(OR(H456="",I456="",K456="Cancelado"),0,I456*N(M456))</f>
        <v/>
      </c>
      <c r="O456" s="37">
        <f>IF(ISNUMBER(A456),MONTH(A456),"")</f>
        <v/>
      </c>
      <c r="P456" s="37">
        <f>IF(ISNUMBER(A456),YEAR(A456),"")</f>
        <v/>
      </c>
    </row>
    <row r="457">
      <c r="A457" s="32" t="n"/>
      <c r="B457" s="33" t="n"/>
      <c r="C457" s="33" t="n"/>
      <c r="D457" s="33" t="n"/>
      <c r="E457" s="33" t="n"/>
      <c r="F457" s="33" t="n"/>
      <c r="G457" s="33" t="n"/>
      <c r="H457" s="33" t="n"/>
      <c r="I457" s="34" t="n"/>
      <c r="J457" s="33" t="n"/>
      <c r="K457" s="33" t="n"/>
      <c r="L457" s="33" t="n"/>
      <c r="M457" s="35">
        <f>IF(H457="","",IFERROR(INDEX(Parceiros!$E$5:$E$54,MATCH(H457,Parceiros!$A$5:$A$54,0)),0))</f>
        <v/>
      </c>
      <c r="N457" s="36">
        <f>IF(OR(H457="",I457="",K457="Cancelado"),0,I457*N(M457))</f>
        <v/>
      </c>
      <c r="O457" s="37">
        <f>IF(ISNUMBER(A457),MONTH(A457),"")</f>
        <v/>
      </c>
      <c r="P457" s="37">
        <f>IF(ISNUMBER(A457),YEAR(A457),"")</f>
        <v/>
      </c>
    </row>
    <row r="458">
      <c r="A458" s="32" t="n"/>
      <c r="B458" s="33" t="n"/>
      <c r="C458" s="33" t="n"/>
      <c r="D458" s="33" t="n"/>
      <c r="E458" s="33" t="n"/>
      <c r="F458" s="33" t="n"/>
      <c r="G458" s="33" t="n"/>
      <c r="H458" s="33" t="n"/>
      <c r="I458" s="34" t="n"/>
      <c r="J458" s="33" t="n"/>
      <c r="K458" s="33" t="n"/>
      <c r="L458" s="33" t="n"/>
      <c r="M458" s="35">
        <f>IF(H458="","",IFERROR(INDEX(Parceiros!$E$5:$E$54,MATCH(H458,Parceiros!$A$5:$A$54,0)),0))</f>
        <v/>
      </c>
      <c r="N458" s="36">
        <f>IF(OR(H458="",I458="",K458="Cancelado"),0,I458*N(M458))</f>
        <v/>
      </c>
      <c r="O458" s="37">
        <f>IF(ISNUMBER(A458),MONTH(A458),"")</f>
        <v/>
      </c>
      <c r="P458" s="37">
        <f>IF(ISNUMBER(A458),YEAR(A458),"")</f>
        <v/>
      </c>
    </row>
    <row r="459">
      <c r="A459" s="32" t="n"/>
      <c r="B459" s="33" t="n"/>
      <c r="C459" s="33" t="n"/>
      <c r="D459" s="33" t="n"/>
      <c r="E459" s="33" t="n"/>
      <c r="F459" s="33" t="n"/>
      <c r="G459" s="33" t="n"/>
      <c r="H459" s="33" t="n"/>
      <c r="I459" s="34" t="n"/>
      <c r="J459" s="33" t="n"/>
      <c r="K459" s="33" t="n"/>
      <c r="L459" s="33" t="n"/>
      <c r="M459" s="35">
        <f>IF(H459="","",IFERROR(INDEX(Parceiros!$E$5:$E$54,MATCH(H459,Parceiros!$A$5:$A$54,0)),0))</f>
        <v/>
      </c>
      <c r="N459" s="36">
        <f>IF(OR(H459="",I459="",K459="Cancelado"),0,I459*N(M459))</f>
        <v/>
      </c>
      <c r="O459" s="37">
        <f>IF(ISNUMBER(A459),MONTH(A459),"")</f>
        <v/>
      </c>
      <c r="P459" s="37">
        <f>IF(ISNUMBER(A459),YEAR(A459),"")</f>
        <v/>
      </c>
    </row>
    <row r="460">
      <c r="A460" s="32" t="n"/>
      <c r="B460" s="33" t="n"/>
      <c r="C460" s="33" t="n"/>
      <c r="D460" s="33" t="n"/>
      <c r="E460" s="33" t="n"/>
      <c r="F460" s="33" t="n"/>
      <c r="G460" s="33" t="n"/>
      <c r="H460" s="33" t="n"/>
      <c r="I460" s="34" t="n"/>
      <c r="J460" s="33" t="n"/>
      <c r="K460" s="33" t="n"/>
      <c r="L460" s="33" t="n"/>
      <c r="M460" s="35">
        <f>IF(H460="","",IFERROR(INDEX(Parceiros!$E$5:$E$54,MATCH(H460,Parceiros!$A$5:$A$54,0)),0))</f>
        <v/>
      </c>
      <c r="N460" s="36">
        <f>IF(OR(H460="",I460="",K460="Cancelado"),0,I460*N(M460))</f>
        <v/>
      </c>
      <c r="O460" s="37">
        <f>IF(ISNUMBER(A460),MONTH(A460),"")</f>
        <v/>
      </c>
      <c r="P460" s="37">
        <f>IF(ISNUMBER(A460),YEAR(A460),"")</f>
        <v/>
      </c>
    </row>
    <row r="461">
      <c r="A461" s="32" t="n"/>
      <c r="B461" s="33" t="n"/>
      <c r="C461" s="33" t="n"/>
      <c r="D461" s="33" t="n"/>
      <c r="E461" s="33" t="n"/>
      <c r="F461" s="33" t="n"/>
      <c r="G461" s="33" t="n"/>
      <c r="H461" s="33" t="n"/>
      <c r="I461" s="34" t="n"/>
      <c r="J461" s="33" t="n"/>
      <c r="K461" s="33" t="n"/>
      <c r="L461" s="33" t="n"/>
      <c r="M461" s="35">
        <f>IF(H461="","",IFERROR(INDEX(Parceiros!$E$5:$E$54,MATCH(H461,Parceiros!$A$5:$A$54,0)),0))</f>
        <v/>
      </c>
      <c r="N461" s="36">
        <f>IF(OR(H461="",I461="",K461="Cancelado"),0,I461*N(M461))</f>
        <v/>
      </c>
      <c r="O461" s="37">
        <f>IF(ISNUMBER(A461),MONTH(A461),"")</f>
        <v/>
      </c>
      <c r="P461" s="37">
        <f>IF(ISNUMBER(A461),YEAR(A461),"")</f>
        <v/>
      </c>
    </row>
    <row r="462">
      <c r="A462" s="32" t="n"/>
      <c r="B462" s="33" t="n"/>
      <c r="C462" s="33" t="n"/>
      <c r="D462" s="33" t="n"/>
      <c r="E462" s="33" t="n"/>
      <c r="F462" s="33" t="n"/>
      <c r="G462" s="33" t="n"/>
      <c r="H462" s="33" t="n"/>
      <c r="I462" s="34" t="n"/>
      <c r="J462" s="33" t="n"/>
      <c r="K462" s="33" t="n"/>
      <c r="L462" s="33" t="n"/>
      <c r="M462" s="35">
        <f>IF(H462="","",IFERROR(INDEX(Parceiros!$E$5:$E$54,MATCH(H462,Parceiros!$A$5:$A$54,0)),0))</f>
        <v/>
      </c>
      <c r="N462" s="36">
        <f>IF(OR(H462="",I462="",K462="Cancelado"),0,I462*N(M462))</f>
        <v/>
      </c>
      <c r="O462" s="37">
        <f>IF(ISNUMBER(A462),MONTH(A462),"")</f>
        <v/>
      </c>
      <c r="P462" s="37">
        <f>IF(ISNUMBER(A462),YEAR(A462),"")</f>
        <v/>
      </c>
    </row>
    <row r="463">
      <c r="A463" s="32" t="n"/>
      <c r="B463" s="33" t="n"/>
      <c r="C463" s="33" t="n"/>
      <c r="D463" s="33" t="n"/>
      <c r="E463" s="33" t="n"/>
      <c r="F463" s="33" t="n"/>
      <c r="G463" s="33" t="n"/>
      <c r="H463" s="33" t="n"/>
      <c r="I463" s="34" t="n"/>
      <c r="J463" s="33" t="n"/>
      <c r="K463" s="33" t="n"/>
      <c r="L463" s="33" t="n"/>
      <c r="M463" s="35">
        <f>IF(H463="","",IFERROR(INDEX(Parceiros!$E$5:$E$54,MATCH(H463,Parceiros!$A$5:$A$54,0)),0))</f>
        <v/>
      </c>
      <c r="N463" s="36">
        <f>IF(OR(H463="",I463="",K463="Cancelado"),0,I463*N(M463))</f>
        <v/>
      </c>
      <c r="O463" s="37">
        <f>IF(ISNUMBER(A463),MONTH(A463),"")</f>
        <v/>
      </c>
      <c r="P463" s="37">
        <f>IF(ISNUMBER(A463),YEAR(A463),"")</f>
        <v/>
      </c>
    </row>
    <row r="464">
      <c r="A464" s="32" t="n"/>
      <c r="B464" s="33" t="n"/>
      <c r="C464" s="33" t="n"/>
      <c r="D464" s="33" t="n"/>
      <c r="E464" s="33" t="n"/>
      <c r="F464" s="33" t="n"/>
      <c r="G464" s="33" t="n"/>
      <c r="H464" s="33" t="n"/>
      <c r="I464" s="34" t="n"/>
      <c r="J464" s="33" t="n"/>
      <c r="K464" s="33" t="n"/>
      <c r="L464" s="33" t="n"/>
      <c r="M464" s="35">
        <f>IF(H464="","",IFERROR(INDEX(Parceiros!$E$5:$E$54,MATCH(H464,Parceiros!$A$5:$A$54,0)),0))</f>
        <v/>
      </c>
      <c r="N464" s="36">
        <f>IF(OR(H464="",I464="",K464="Cancelado"),0,I464*N(M464))</f>
        <v/>
      </c>
      <c r="O464" s="37">
        <f>IF(ISNUMBER(A464),MONTH(A464),"")</f>
        <v/>
      </c>
      <c r="P464" s="37">
        <f>IF(ISNUMBER(A464),YEAR(A464),"")</f>
        <v/>
      </c>
    </row>
    <row r="465">
      <c r="A465" s="32" t="n"/>
      <c r="B465" s="33" t="n"/>
      <c r="C465" s="33" t="n"/>
      <c r="D465" s="33" t="n"/>
      <c r="E465" s="33" t="n"/>
      <c r="F465" s="33" t="n"/>
      <c r="G465" s="33" t="n"/>
      <c r="H465" s="33" t="n"/>
      <c r="I465" s="34" t="n"/>
      <c r="J465" s="33" t="n"/>
      <c r="K465" s="33" t="n"/>
      <c r="L465" s="33" t="n"/>
      <c r="M465" s="35">
        <f>IF(H465="","",IFERROR(INDEX(Parceiros!$E$5:$E$54,MATCH(H465,Parceiros!$A$5:$A$54,0)),0))</f>
        <v/>
      </c>
      <c r="N465" s="36">
        <f>IF(OR(H465="",I465="",K465="Cancelado"),0,I465*N(M465))</f>
        <v/>
      </c>
      <c r="O465" s="37">
        <f>IF(ISNUMBER(A465),MONTH(A465),"")</f>
        <v/>
      </c>
      <c r="P465" s="37">
        <f>IF(ISNUMBER(A465),YEAR(A465),"")</f>
        <v/>
      </c>
    </row>
    <row r="466">
      <c r="A466" s="32" t="n"/>
      <c r="B466" s="33" t="n"/>
      <c r="C466" s="33" t="n"/>
      <c r="D466" s="33" t="n"/>
      <c r="E466" s="33" t="n"/>
      <c r="F466" s="33" t="n"/>
      <c r="G466" s="33" t="n"/>
      <c r="H466" s="33" t="n"/>
      <c r="I466" s="34" t="n"/>
      <c r="J466" s="33" t="n"/>
      <c r="K466" s="33" t="n"/>
      <c r="L466" s="33" t="n"/>
      <c r="M466" s="35">
        <f>IF(H466="","",IFERROR(INDEX(Parceiros!$E$5:$E$54,MATCH(H466,Parceiros!$A$5:$A$54,0)),0))</f>
        <v/>
      </c>
      <c r="N466" s="36">
        <f>IF(OR(H466="",I466="",K466="Cancelado"),0,I466*N(M466))</f>
        <v/>
      </c>
      <c r="O466" s="37">
        <f>IF(ISNUMBER(A466),MONTH(A466),"")</f>
        <v/>
      </c>
      <c r="P466" s="37">
        <f>IF(ISNUMBER(A466),YEAR(A466),"")</f>
        <v/>
      </c>
    </row>
    <row r="467">
      <c r="A467" s="32" t="n"/>
      <c r="B467" s="33" t="n"/>
      <c r="C467" s="33" t="n"/>
      <c r="D467" s="33" t="n"/>
      <c r="E467" s="33" t="n"/>
      <c r="F467" s="33" t="n"/>
      <c r="G467" s="33" t="n"/>
      <c r="H467" s="33" t="n"/>
      <c r="I467" s="34" t="n"/>
      <c r="J467" s="33" t="n"/>
      <c r="K467" s="33" t="n"/>
      <c r="L467" s="33" t="n"/>
      <c r="M467" s="35">
        <f>IF(H467="","",IFERROR(INDEX(Parceiros!$E$5:$E$54,MATCH(H467,Parceiros!$A$5:$A$54,0)),0))</f>
        <v/>
      </c>
      <c r="N467" s="36">
        <f>IF(OR(H467="",I467="",K467="Cancelado"),0,I467*N(M467))</f>
        <v/>
      </c>
      <c r="O467" s="37">
        <f>IF(ISNUMBER(A467),MONTH(A467),"")</f>
        <v/>
      </c>
      <c r="P467" s="37">
        <f>IF(ISNUMBER(A467),YEAR(A467),"")</f>
        <v/>
      </c>
    </row>
    <row r="468">
      <c r="A468" s="32" t="n"/>
      <c r="B468" s="33" t="n"/>
      <c r="C468" s="33" t="n"/>
      <c r="D468" s="33" t="n"/>
      <c r="E468" s="33" t="n"/>
      <c r="F468" s="33" t="n"/>
      <c r="G468" s="33" t="n"/>
      <c r="H468" s="33" t="n"/>
      <c r="I468" s="34" t="n"/>
      <c r="J468" s="33" t="n"/>
      <c r="K468" s="33" t="n"/>
      <c r="L468" s="33" t="n"/>
      <c r="M468" s="35">
        <f>IF(H468="","",IFERROR(INDEX(Parceiros!$E$5:$E$54,MATCH(H468,Parceiros!$A$5:$A$54,0)),0))</f>
        <v/>
      </c>
      <c r="N468" s="36">
        <f>IF(OR(H468="",I468="",K468="Cancelado"),0,I468*N(M468))</f>
        <v/>
      </c>
      <c r="O468" s="37">
        <f>IF(ISNUMBER(A468),MONTH(A468),"")</f>
        <v/>
      </c>
      <c r="P468" s="37">
        <f>IF(ISNUMBER(A468),YEAR(A468),"")</f>
        <v/>
      </c>
    </row>
    <row r="469">
      <c r="A469" s="32" t="n"/>
      <c r="B469" s="33" t="n"/>
      <c r="C469" s="33" t="n"/>
      <c r="D469" s="33" t="n"/>
      <c r="E469" s="33" t="n"/>
      <c r="F469" s="33" t="n"/>
      <c r="G469" s="33" t="n"/>
      <c r="H469" s="33" t="n"/>
      <c r="I469" s="34" t="n"/>
      <c r="J469" s="33" t="n"/>
      <c r="K469" s="33" t="n"/>
      <c r="L469" s="33" t="n"/>
      <c r="M469" s="35">
        <f>IF(H469="","",IFERROR(INDEX(Parceiros!$E$5:$E$54,MATCH(H469,Parceiros!$A$5:$A$54,0)),0))</f>
        <v/>
      </c>
      <c r="N469" s="36">
        <f>IF(OR(H469="",I469="",K469="Cancelado"),0,I469*N(M469))</f>
        <v/>
      </c>
      <c r="O469" s="37">
        <f>IF(ISNUMBER(A469),MONTH(A469),"")</f>
        <v/>
      </c>
      <c r="P469" s="37">
        <f>IF(ISNUMBER(A469),YEAR(A469),"")</f>
        <v/>
      </c>
    </row>
    <row r="470">
      <c r="A470" s="32" t="n"/>
      <c r="B470" s="33" t="n"/>
      <c r="C470" s="33" t="n"/>
      <c r="D470" s="33" t="n"/>
      <c r="E470" s="33" t="n"/>
      <c r="F470" s="33" t="n"/>
      <c r="G470" s="33" t="n"/>
      <c r="H470" s="33" t="n"/>
      <c r="I470" s="34" t="n"/>
      <c r="J470" s="33" t="n"/>
      <c r="K470" s="33" t="n"/>
      <c r="L470" s="33" t="n"/>
      <c r="M470" s="35">
        <f>IF(H470="","",IFERROR(INDEX(Parceiros!$E$5:$E$54,MATCH(H470,Parceiros!$A$5:$A$54,0)),0))</f>
        <v/>
      </c>
      <c r="N470" s="36">
        <f>IF(OR(H470="",I470="",K470="Cancelado"),0,I470*N(M470))</f>
        <v/>
      </c>
      <c r="O470" s="37">
        <f>IF(ISNUMBER(A470),MONTH(A470),"")</f>
        <v/>
      </c>
      <c r="P470" s="37">
        <f>IF(ISNUMBER(A470),YEAR(A470),"")</f>
        <v/>
      </c>
    </row>
    <row r="471">
      <c r="A471" s="32" t="n"/>
      <c r="B471" s="33" t="n"/>
      <c r="C471" s="33" t="n"/>
      <c r="D471" s="33" t="n"/>
      <c r="E471" s="33" t="n"/>
      <c r="F471" s="33" t="n"/>
      <c r="G471" s="33" t="n"/>
      <c r="H471" s="33" t="n"/>
      <c r="I471" s="34" t="n"/>
      <c r="J471" s="33" t="n"/>
      <c r="K471" s="33" t="n"/>
      <c r="L471" s="33" t="n"/>
      <c r="M471" s="35">
        <f>IF(H471="","",IFERROR(INDEX(Parceiros!$E$5:$E$54,MATCH(H471,Parceiros!$A$5:$A$54,0)),0))</f>
        <v/>
      </c>
      <c r="N471" s="36">
        <f>IF(OR(H471="",I471="",K471="Cancelado"),0,I471*N(M471))</f>
        <v/>
      </c>
      <c r="O471" s="37">
        <f>IF(ISNUMBER(A471),MONTH(A471),"")</f>
        <v/>
      </c>
      <c r="P471" s="37">
        <f>IF(ISNUMBER(A471),YEAR(A471),"")</f>
        <v/>
      </c>
    </row>
    <row r="472">
      <c r="A472" s="32" t="n"/>
      <c r="B472" s="33" t="n"/>
      <c r="C472" s="33" t="n"/>
      <c r="D472" s="33" t="n"/>
      <c r="E472" s="33" t="n"/>
      <c r="F472" s="33" t="n"/>
      <c r="G472" s="33" t="n"/>
      <c r="H472" s="33" t="n"/>
      <c r="I472" s="34" t="n"/>
      <c r="J472" s="33" t="n"/>
      <c r="K472" s="33" t="n"/>
      <c r="L472" s="33" t="n"/>
      <c r="M472" s="35">
        <f>IF(H472="","",IFERROR(INDEX(Parceiros!$E$5:$E$54,MATCH(H472,Parceiros!$A$5:$A$54,0)),0))</f>
        <v/>
      </c>
      <c r="N472" s="36">
        <f>IF(OR(H472="",I472="",K472="Cancelado"),0,I472*N(M472))</f>
        <v/>
      </c>
      <c r="O472" s="37">
        <f>IF(ISNUMBER(A472),MONTH(A472),"")</f>
        <v/>
      </c>
      <c r="P472" s="37">
        <f>IF(ISNUMBER(A472),YEAR(A472),"")</f>
        <v/>
      </c>
    </row>
    <row r="473">
      <c r="A473" s="32" t="n"/>
      <c r="B473" s="33" t="n"/>
      <c r="C473" s="33" t="n"/>
      <c r="D473" s="33" t="n"/>
      <c r="E473" s="33" t="n"/>
      <c r="F473" s="33" t="n"/>
      <c r="G473" s="33" t="n"/>
      <c r="H473" s="33" t="n"/>
      <c r="I473" s="34" t="n"/>
      <c r="J473" s="33" t="n"/>
      <c r="K473" s="33" t="n"/>
      <c r="L473" s="33" t="n"/>
      <c r="M473" s="35">
        <f>IF(H473="","",IFERROR(INDEX(Parceiros!$E$5:$E$54,MATCH(H473,Parceiros!$A$5:$A$54,0)),0))</f>
        <v/>
      </c>
      <c r="N473" s="36">
        <f>IF(OR(H473="",I473="",K473="Cancelado"),0,I473*N(M473))</f>
        <v/>
      </c>
      <c r="O473" s="37">
        <f>IF(ISNUMBER(A473),MONTH(A473),"")</f>
        <v/>
      </c>
      <c r="P473" s="37">
        <f>IF(ISNUMBER(A473),YEAR(A473),"")</f>
        <v/>
      </c>
    </row>
    <row r="474">
      <c r="A474" s="32" t="n"/>
      <c r="B474" s="33" t="n"/>
      <c r="C474" s="33" t="n"/>
      <c r="D474" s="33" t="n"/>
      <c r="E474" s="33" t="n"/>
      <c r="F474" s="33" t="n"/>
      <c r="G474" s="33" t="n"/>
      <c r="H474" s="33" t="n"/>
      <c r="I474" s="34" t="n"/>
      <c r="J474" s="33" t="n"/>
      <c r="K474" s="33" t="n"/>
      <c r="L474" s="33" t="n"/>
      <c r="M474" s="35">
        <f>IF(H474="","",IFERROR(INDEX(Parceiros!$E$5:$E$54,MATCH(H474,Parceiros!$A$5:$A$54,0)),0))</f>
        <v/>
      </c>
      <c r="N474" s="36">
        <f>IF(OR(H474="",I474="",K474="Cancelado"),0,I474*N(M474))</f>
        <v/>
      </c>
      <c r="O474" s="37">
        <f>IF(ISNUMBER(A474),MONTH(A474),"")</f>
        <v/>
      </c>
      <c r="P474" s="37">
        <f>IF(ISNUMBER(A474),YEAR(A474),"")</f>
        <v/>
      </c>
    </row>
    <row r="475">
      <c r="A475" s="32" t="n"/>
      <c r="B475" s="33" t="n"/>
      <c r="C475" s="33" t="n"/>
      <c r="D475" s="33" t="n"/>
      <c r="E475" s="33" t="n"/>
      <c r="F475" s="33" t="n"/>
      <c r="G475" s="33" t="n"/>
      <c r="H475" s="33" t="n"/>
      <c r="I475" s="34" t="n"/>
      <c r="J475" s="33" t="n"/>
      <c r="K475" s="33" t="n"/>
      <c r="L475" s="33" t="n"/>
      <c r="M475" s="35">
        <f>IF(H475="","",IFERROR(INDEX(Parceiros!$E$5:$E$54,MATCH(H475,Parceiros!$A$5:$A$54,0)),0))</f>
        <v/>
      </c>
      <c r="N475" s="36">
        <f>IF(OR(H475="",I475="",K475="Cancelado"),0,I475*N(M475))</f>
        <v/>
      </c>
      <c r="O475" s="37">
        <f>IF(ISNUMBER(A475),MONTH(A475),"")</f>
        <v/>
      </c>
      <c r="P475" s="37">
        <f>IF(ISNUMBER(A475),YEAR(A475),"")</f>
        <v/>
      </c>
    </row>
    <row r="476">
      <c r="A476" s="32" t="n"/>
      <c r="B476" s="33" t="n"/>
      <c r="C476" s="33" t="n"/>
      <c r="D476" s="33" t="n"/>
      <c r="E476" s="33" t="n"/>
      <c r="F476" s="33" t="n"/>
      <c r="G476" s="33" t="n"/>
      <c r="H476" s="33" t="n"/>
      <c r="I476" s="34" t="n"/>
      <c r="J476" s="33" t="n"/>
      <c r="K476" s="33" t="n"/>
      <c r="L476" s="33" t="n"/>
      <c r="M476" s="35">
        <f>IF(H476="","",IFERROR(INDEX(Parceiros!$E$5:$E$54,MATCH(H476,Parceiros!$A$5:$A$54,0)),0))</f>
        <v/>
      </c>
      <c r="N476" s="36">
        <f>IF(OR(H476="",I476="",K476="Cancelado"),0,I476*N(M476))</f>
        <v/>
      </c>
      <c r="O476" s="37">
        <f>IF(ISNUMBER(A476),MONTH(A476),"")</f>
        <v/>
      </c>
      <c r="P476" s="37">
        <f>IF(ISNUMBER(A476),YEAR(A476),"")</f>
        <v/>
      </c>
    </row>
    <row r="477">
      <c r="A477" s="32" t="n"/>
      <c r="B477" s="33" t="n"/>
      <c r="C477" s="33" t="n"/>
      <c r="D477" s="33" t="n"/>
      <c r="E477" s="33" t="n"/>
      <c r="F477" s="33" t="n"/>
      <c r="G477" s="33" t="n"/>
      <c r="H477" s="33" t="n"/>
      <c r="I477" s="34" t="n"/>
      <c r="J477" s="33" t="n"/>
      <c r="K477" s="33" t="n"/>
      <c r="L477" s="33" t="n"/>
      <c r="M477" s="35">
        <f>IF(H477="","",IFERROR(INDEX(Parceiros!$E$5:$E$54,MATCH(H477,Parceiros!$A$5:$A$54,0)),0))</f>
        <v/>
      </c>
      <c r="N477" s="36">
        <f>IF(OR(H477="",I477="",K477="Cancelado"),0,I477*N(M477))</f>
        <v/>
      </c>
      <c r="O477" s="37">
        <f>IF(ISNUMBER(A477),MONTH(A477),"")</f>
        <v/>
      </c>
      <c r="P477" s="37">
        <f>IF(ISNUMBER(A477),YEAR(A477),"")</f>
        <v/>
      </c>
    </row>
    <row r="478">
      <c r="A478" s="32" t="n"/>
      <c r="B478" s="33" t="n"/>
      <c r="C478" s="33" t="n"/>
      <c r="D478" s="33" t="n"/>
      <c r="E478" s="33" t="n"/>
      <c r="F478" s="33" t="n"/>
      <c r="G478" s="33" t="n"/>
      <c r="H478" s="33" t="n"/>
      <c r="I478" s="34" t="n"/>
      <c r="J478" s="33" t="n"/>
      <c r="K478" s="33" t="n"/>
      <c r="L478" s="33" t="n"/>
      <c r="M478" s="35">
        <f>IF(H478="","",IFERROR(INDEX(Parceiros!$E$5:$E$54,MATCH(H478,Parceiros!$A$5:$A$54,0)),0))</f>
        <v/>
      </c>
      <c r="N478" s="36">
        <f>IF(OR(H478="",I478="",K478="Cancelado"),0,I478*N(M478))</f>
        <v/>
      </c>
      <c r="O478" s="37">
        <f>IF(ISNUMBER(A478),MONTH(A478),"")</f>
        <v/>
      </c>
      <c r="P478" s="37">
        <f>IF(ISNUMBER(A478),YEAR(A478),"")</f>
        <v/>
      </c>
    </row>
    <row r="479">
      <c r="A479" s="32" t="n"/>
      <c r="B479" s="33" t="n"/>
      <c r="C479" s="33" t="n"/>
      <c r="D479" s="33" t="n"/>
      <c r="E479" s="33" t="n"/>
      <c r="F479" s="33" t="n"/>
      <c r="G479" s="33" t="n"/>
      <c r="H479" s="33" t="n"/>
      <c r="I479" s="34" t="n"/>
      <c r="J479" s="33" t="n"/>
      <c r="K479" s="33" t="n"/>
      <c r="L479" s="33" t="n"/>
      <c r="M479" s="35">
        <f>IF(H479="","",IFERROR(INDEX(Parceiros!$E$5:$E$54,MATCH(H479,Parceiros!$A$5:$A$54,0)),0))</f>
        <v/>
      </c>
      <c r="N479" s="36">
        <f>IF(OR(H479="",I479="",K479="Cancelado"),0,I479*N(M479))</f>
        <v/>
      </c>
      <c r="O479" s="37">
        <f>IF(ISNUMBER(A479),MONTH(A479),"")</f>
        <v/>
      </c>
      <c r="P479" s="37">
        <f>IF(ISNUMBER(A479),YEAR(A479),"")</f>
        <v/>
      </c>
    </row>
    <row r="480">
      <c r="A480" s="32" t="n"/>
      <c r="B480" s="33" t="n"/>
      <c r="C480" s="33" t="n"/>
      <c r="D480" s="33" t="n"/>
      <c r="E480" s="33" t="n"/>
      <c r="F480" s="33" t="n"/>
      <c r="G480" s="33" t="n"/>
      <c r="H480" s="33" t="n"/>
      <c r="I480" s="34" t="n"/>
      <c r="J480" s="33" t="n"/>
      <c r="K480" s="33" t="n"/>
      <c r="L480" s="33" t="n"/>
      <c r="M480" s="35">
        <f>IF(H480="","",IFERROR(INDEX(Parceiros!$E$5:$E$54,MATCH(H480,Parceiros!$A$5:$A$54,0)),0))</f>
        <v/>
      </c>
      <c r="N480" s="36">
        <f>IF(OR(H480="",I480="",K480="Cancelado"),0,I480*N(M480))</f>
        <v/>
      </c>
      <c r="O480" s="37">
        <f>IF(ISNUMBER(A480),MONTH(A480),"")</f>
        <v/>
      </c>
      <c r="P480" s="37">
        <f>IF(ISNUMBER(A480),YEAR(A480),"")</f>
        <v/>
      </c>
    </row>
    <row r="481">
      <c r="A481" s="32" t="n"/>
      <c r="B481" s="33" t="n"/>
      <c r="C481" s="33" t="n"/>
      <c r="D481" s="33" t="n"/>
      <c r="E481" s="33" t="n"/>
      <c r="F481" s="33" t="n"/>
      <c r="G481" s="33" t="n"/>
      <c r="H481" s="33" t="n"/>
      <c r="I481" s="34" t="n"/>
      <c r="J481" s="33" t="n"/>
      <c r="K481" s="33" t="n"/>
      <c r="L481" s="33" t="n"/>
      <c r="M481" s="35">
        <f>IF(H481="","",IFERROR(INDEX(Parceiros!$E$5:$E$54,MATCH(H481,Parceiros!$A$5:$A$54,0)),0))</f>
        <v/>
      </c>
      <c r="N481" s="36">
        <f>IF(OR(H481="",I481="",K481="Cancelado"),0,I481*N(M481))</f>
        <v/>
      </c>
      <c r="O481" s="37">
        <f>IF(ISNUMBER(A481),MONTH(A481),"")</f>
        <v/>
      </c>
      <c r="P481" s="37">
        <f>IF(ISNUMBER(A481),YEAR(A481),"")</f>
        <v/>
      </c>
    </row>
    <row r="482">
      <c r="A482" s="32" t="n"/>
      <c r="B482" s="33" t="n"/>
      <c r="C482" s="33" t="n"/>
      <c r="D482" s="33" t="n"/>
      <c r="E482" s="33" t="n"/>
      <c r="F482" s="33" t="n"/>
      <c r="G482" s="33" t="n"/>
      <c r="H482" s="33" t="n"/>
      <c r="I482" s="34" t="n"/>
      <c r="J482" s="33" t="n"/>
      <c r="K482" s="33" t="n"/>
      <c r="L482" s="33" t="n"/>
      <c r="M482" s="35">
        <f>IF(H482="","",IFERROR(INDEX(Parceiros!$E$5:$E$54,MATCH(H482,Parceiros!$A$5:$A$54,0)),0))</f>
        <v/>
      </c>
      <c r="N482" s="36">
        <f>IF(OR(H482="",I482="",K482="Cancelado"),0,I482*N(M482))</f>
        <v/>
      </c>
      <c r="O482" s="37">
        <f>IF(ISNUMBER(A482),MONTH(A482),"")</f>
        <v/>
      </c>
      <c r="P482" s="37">
        <f>IF(ISNUMBER(A482),YEAR(A482),"")</f>
        <v/>
      </c>
    </row>
    <row r="483">
      <c r="A483" s="32" t="n"/>
      <c r="B483" s="33" t="n"/>
      <c r="C483" s="33" t="n"/>
      <c r="D483" s="33" t="n"/>
      <c r="E483" s="33" t="n"/>
      <c r="F483" s="33" t="n"/>
      <c r="G483" s="33" t="n"/>
      <c r="H483" s="33" t="n"/>
      <c r="I483" s="34" t="n"/>
      <c r="J483" s="33" t="n"/>
      <c r="K483" s="33" t="n"/>
      <c r="L483" s="33" t="n"/>
      <c r="M483" s="35">
        <f>IF(H483="","",IFERROR(INDEX(Parceiros!$E$5:$E$54,MATCH(H483,Parceiros!$A$5:$A$54,0)),0))</f>
        <v/>
      </c>
      <c r="N483" s="36">
        <f>IF(OR(H483="",I483="",K483="Cancelado"),0,I483*N(M483))</f>
        <v/>
      </c>
      <c r="O483" s="37">
        <f>IF(ISNUMBER(A483),MONTH(A483),"")</f>
        <v/>
      </c>
      <c r="P483" s="37">
        <f>IF(ISNUMBER(A483),YEAR(A483),"")</f>
        <v/>
      </c>
    </row>
    <row r="484">
      <c r="A484" s="32" t="n"/>
      <c r="B484" s="33" t="n"/>
      <c r="C484" s="33" t="n"/>
      <c r="D484" s="33" t="n"/>
      <c r="E484" s="33" t="n"/>
      <c r="F484" s="33" t="n"/>
      <c r="G484" s="33" t="n"/>
      <c r="H484" s="33" t="n"/>
      <c r="I484" s="34" t="n"/>
      <c r="J484" s="33" t="n"/>
      <c r="K484" s="33" t="n"/>
      <c r="L484" s="33" t="n"/>
      <c r="M484" s="35">
        <f>IF(H484="","",IFERROR(INDEX(Parceiros!$E$5:$E$54,MATCH(H484,Parceiros!$A$5:$A$54,0)),0))</f>
        <v/>
      </c>
      <c r="N484" s="36">
        <f>IF(OR(H484="",I484="",K484="Cancelado"),0,I484*N(M484))</f>
        <v/>
      </c>
      <c r="O484" s="37">
        <f>IF(ISNUMBER(A484),MONTH(A484),"")</f>
        <v/>
      </c>
      <c r="P484" s="37">
        <f>IF(ISNUMBER(A484),YEAR(A484),"")</f>
        <v/>
      </c>
    </row>
    <row r="485">
      <c r="A485" s="32" t="n"/>
      <c r="B485" s="33" t="n"/>
      <c r="C485" s="33" t="n"/>
      <c r="D485" s="33" t="n"/>
      <c r="E485" s="33" t="n"/>
      <c r="F485" s="33" t="n"/>
      <c r="G485" s="33" t="n"/>
      <c r="H485" s="33" t="n"/>
      <c r="I485" s="34" t="n"/>
      <c r="J485" s="33" t="n"/>
      <c r="K485" s="33" t="n"/>
      <c r="L485" s="33" t="n"/>
      <c r="M485" s="35">
        <f>IF(H485="","",IFERROR(INDEX(Parceiros!$E$5:$E$54,MATCH(H485,Parceiros!$A$5:$A$54,0)),0))</f>
        <v/>
      </c>
      <c r="N485" s="36">
        <f>IF(OR(H485="",I485="",K485="Cancelado"),0,I485*N(M485))</f>
        <v/>
      </c>
      <c r="O485" s="37">
        <f>IF(ISNUMBER(A485),MONTH(A485),"")</f>
        <v/>
      </c>
      <c r="P485" s="37">
        <f>IF(ISNUMBER(A485),YEAR(A485),"")</f>
        <v/>
      </c>
    </row>
    <row r="486">
      <c r="A486" s="32" t="n"/>
      <c r="B486" s="33" t="n"/>
      <c r="C486" s="33" t="n"/>
      <c r="D486" s="33" t="n"/>
      <c r="E486" s="33" t="n"/>
      <c r="F486" s="33" t="n"/>
      <c r="G486" s="33" t="n"/>
      <c r="H486" s="33" t="n"/>
      <c r="I486" s="34" t="n"/>
      <c r="J486" s="33" t="n"/>
      <c r="K486" s="33" t="n"/>
      <c r="L486" s="33" t="n"/>
      <c r="M486" s="35">
        <f>IF(H486="","",IFERROR(INDEX(Parceiros!$E$5:$E$54,MATCH(H486,Parceiros!$A$5:$A$54,0)),0))</f>
        <v/>
      </c>
      <c r="N486" s="36">
        <f>IF(OR(H486="",I486="",K486="Cancelado"),0,I486*N(M486))</f>
        <v/>
      </c>
      <c r="O486" s="37">
        <f>IF(ISNUMBER(A486),MONTH(A486),"")</f>
        <v/>
      </c>
      <c r="P486" s="37">
        <f>IF(ISNUMBER(A486),YEAR(A486),"")</f>
        <v/>
      </c>
    </row>
    <row r="487">
      <c r="A487" s="32" t="n"/>
      <c r="B487" s="33" t="n"/>
      <c r="C487" s="33" t="n"/>
      <c r="D487" s="33" t="n"/>
      <c r="E487" s="33" t="n"/>
      <c r="F487" s="33" t="n"/>
      <c r="G487" s="33" t="n"/>
      <c r="H487" s="33" t="n"/>
      <c r="I487" s="34" t="n"/>
      <c r="J487" s="33" t="n"/>
      <c r="K487" s="33" t="n"/>
      <c r="L487" s="33" t="n"/>
      <c r="M487" s="35">
        <f>IF(H487="","",IFERROR(INDEX(Parceiros!$E$5:$E$54,MATCH(H487,Parceiros!$A$5:$A$54,0)),0))</f>
        <v/>
      </c>
      <c r="N487" s="36">
        <f>IF(OR(H487="",I487="",K487="Cancelado"),0,I487*N(M487))</f>
        <v/>
      </c>
      <c r="O487" s="37">
        <f>IF(ISNUMBER(A487),MONTH(A487),"")</f>
        <v/>
      </c>
      <c r="P487" s="37">
        <f>IF(ISNUMBER(A487),YEAR(A487),"")</f>
        <v/>
      </c>
    </row>
    <row r="488">
      <c r="A488" s="32" t="n"/>
      <c r="B488" s="33" t="n"/>
      <c r="C488" s="33" t="n"/>
      <c r="D488" s="33" t="n"/>
      <c r="E488" s="33" t="n"/>
      <c r="F488" s="33" t="n"/>
      <c r="G488" s="33" t="n"/>
      <c r="H488" s="33" t="n"/>
      <c r="I488" s="34" t="n"/>
      <c r="J488" s="33" t="n"/>
      <c r="K488" s="33" t="n"/>
      <c r="L488" s="33" t="n"/>
      <c r="M488" s="35">
        <f>IF(H488="","",IFERROR(INDEX(Parceiros!$E$5:$E$54,MATCH(H488,Parceiros!$A$5:$A$54,0)),0))</f>
        <v/>
      </c>
      <c r="N488" s="36">
        <f>IF(OR(H488="",I488="",K488="Cancelado"),0,I488*N(M488))</f>
        <v/>
      </c>
      <c r="O488" s="37">
        <f>IF(ISNUMBER(A488),MONTH(A488),"")</f>
        <v/>
      </c>
      <c r="P488" s="37">
        <f>IF(ISNUMBER(A488),YEAR(A488),"")</f>
        <v/>
      </c>
    </row>
    <row r="489">
      <c r="A489" s="32" t="n"/>
      <c r="B489" s="33" t="n"/>
      <c r="C489" s="33" t="n"/>
      <c r="D489" s="33" t="n"/>
      <c r="E489" s="33" t="n"/>
      <c r="F489" s="33" t="n"/>
      <c r="G489" s="33" t="n"/>
      <c r="H489" s="33" t="n"/>
      <c r="I489" s="34" t="n"/>
      <c r="J489" s="33" t="n"/>
      <c r="K489" s="33" t="n"/>
      <c r="L489" s="33" t="n"/>
      <c r="M489" s="35">
        <f>IF(H489="","",IFERROR(INDEX(Parceiros!$E$5:$E$54,MATCH(H489,Parceiros!$A$5:$A$54,0)),0))</f>
        <v/>
      </c>
      <c r="N489" s="36">
        <f>IF(OR(H489="",I489="",K489="Cancelado"),0,I489*N(M489))</f>
        <v/>
      </c>
      <c r="O489" s="37">
        <f>IF(ISNUMBER(A489),MONTH(A489),"")</f>
        <v/>
      </c>
      <c r="P489" s="37">
        <f>IF(ISNUMBER(A489),YEAR(A489),"")</f>
        <v/>
      </c>
    </row>
    <row r="490">
      <c r="A490" s="32" t="n"/>
      <c r="B490" s="33" t="n"/>
      <c r="C490" s="33" t="n"/>
      <c r="D490" s="33" t="n"/>
      <c r="E490" s="33" t="n"/>
      <c r="F490" s="33" t="n"/>
      <c r="G490" s="33" t="n"/>
      <c r="H490" s="33" t="n"/>
      <c r="I490" s="34" t="n"/>
      <c r="J490" s="33" t="n"/>
      <c r="K490" s="33" t="n"/>
      <c r="L490" s="33" t="n"/>
      <c r="M490" s="35">
        <f>IF(H490="","",IFERROR(INDEX(Parceiros!$E$5:$E$54,MATCH(H490,Parceiros!$A$5:$A$54,0)),0))</f>
        <v/>
      </c>
      <c r="N490" s="36">
        <f>IF(OR(H490="",I490="",K490="Cancelado"),0,I490*N(M490))</f>
        <v/>
      </c>
      <c r="O490" s="37">
        <f>IF(ISNUMBER(A490),MONTH(A490),"")</f>
        <v/>
      </c>
      <c r="P490" s="37">
        <f>IF(ISNUMBER(A490),YEAR(A490),"")</f>
        <v/>
      </c>
    </row>
    <row r="491">
      <c r="A491" s="32" t="n"/>
      <c r="B491" s="33" t="n"/>
      <c r="C491" s="33" t="n"/>
      <c r="D491" s="33" t="n"/>
      <c r="E491" s="33" t="n"/>
      <c r="F491" s="33" t="n"/>
      <c r="G491" s="33" t="n"/>
      <c r="H491" s="33" t="n"/>
      <c r="I491" s="34" t="n"/>
      <c r="J491" s="33" t="n"/>
      <c r="K491" s="33" t="n"/>
      <c r="L491" s="33" t="n"/>
      <c r="M491" s="35">
        <f>IF(H491="","",IFERROR(INDEX(Parceiros!$E$5:$E$54,MATCH(H491,Parceiros!$A$5:$A$54,0)),0))</f>
        <v/>
      </c>
      <c r="N491" s="36">
        <f>IF(OR(H491="",I491="",K491="Cancelado"),0,I491*N(M491))</f>
        <v/>
      </c>
      <c r="O491" s="37">
        <f>IF(ISNUMBER(A491),MONTH(A491),"")</f>
        <v/>
      </c>
      <c r="P491" s="37">
        <f>IF(ISNUMBER(A491),YEAR(A491),"")</f>
        <v/>
      </c>
    </row>
    <row r="492">
      <c r="A492" s="32" t="n"/>
      <c r="B492" s="33" t="n"/>
      <c r="C492" s="33" t="n"/>
      <c r="D492" s="33" t="n"/>
      <c r="E492" s="33" t="n"/>
      <c r="F492" s="33" t="n"/>
      <c r="G492" s="33" t="n"/>
      <c r="H492" s="33" t="n"/>
      <c r="I492" s="34" t="n"/>
      <c r="J492" s="33" t="n"/>
      <c r="K492" s="33" t="n"/>
      <c r="L492" s="33" t="n"/>
      <c r="M492" s="35">
        <f>IF(H492="","",IFERROR(INDEX(Parceiros!$E$5:$E$54,MATCH(H492,Parceiros!$A$5:$A$54,0)),0))</f>
        <v/>
      </c>
      <c r="N492" s="36">
        <f>IF(OR(H492="",I492="",K492="Cancelado"),0,I492*N(M492))</f>
        <v/>
      </c>
      <c r="O492" s="37">
        <f>IF(ISNUMBER(A492),MONTH(A492),"")</f>
        <v/>
      </c>
      <c r="P492" s="37">
        <f>IF(ISNUMBER(A492),YEAR(A492),"")</f>
        <v/>
      </c>
    </row>
    <row r="493">
      <c r="A493" s="32" t="n"/>
      <c r="B493" s="33" t="n"/>
      <c r="C493" s="33" t="n"/>
      <c r="D493" s="33" t="n"/>
      <c r="E493" s="33" t="n"/>
      <c r="F493" s="33" t="n"/>
      <c r="G493" s="33" t="n"/>
      <c r="H493" s="33" t="n"/>
      <c r="I493" s="34" t="n"/>
      <c r="J493" s="33" t="n"/>
      <c r="K493" s="33" t="n"/>
      <c r="L493" s="33" t="n"/>
      <c r="M493" s="35">
        <f>IF(H493="","",IFERROR(INDEX(Parceiros!$E$5:$E$54,MATCH(H493,Parceiros!$A$5:$A$54,0)),0))</f>
        <v/>
      </c>
      <c r="N493" s="36">
        <f>IF(OR(H493="",I493="",K493="Cancelado"),0,I493*N(M493))</f>
        <v/>
      </c>
      <c r="O493" s="37">
        <f>IF(ISNUMBER(A493),MONTH(A493),"")</f>
        <v/>
      </c>
      <c r="P493" s="37">
        <f>IF(ISNUMBER(A493),YEAR(A493),"")</f>
        <v/>
      </c>
    </row>
    <row r="494">
      <c r="A494" s="32" t="n"/>
      <c r="B494" s="33" t="n"/>
      <c r="C494" s="33" t="n"/>
      <c r="D494" s="33" t="n"/>
      <c r="E494" s="33" t="n"/>
      <c r="F494" s="33" t="n"/>
      <c r="G494" s="33" t="n"/>
      <c r="H494" s="33" t="n"/>
      <c r="I494" s="34" t="n"/>
      <c r="J494" s="33" t="n"/>
      <c r="K494" s="33" t="n"/>
      <c r="L494" s="33" t="n"/>
      <c r="M494" s="35">
        <f>IF(H494="","",IFERROR(INDEX(Parceiros!$E$5:$E$54,MATCH(H494,Parceiros!$A$5:$A$54,0)),0))</f>
        <v/>
      </c>
      <c r="N494" s="36">
        <f>IF(OR(H494="",I494="",K494="Cancelado"),0,I494*N(M494))</f>
        <v/>
      </c>
      <c r="O494" s="37">
        <f>IF(ISNUMBER(A494),MONTH(A494),"")</f>
        <v/>
      </c>
      <c r="P494" s="37">
        <f>IF(ISNUMBER(A494),YEAR(A494),"")</f>
        <v/>
      </c>
    </row>
    <row r="495">
      <c r="A495" s="32" t="n"/>
      <c r="B495" s="33" t="n"/>
      <c r="C495" s="33" t="n"/>
      <c r="D495" s="33" t="n"/>
      <c r="E495" s="33" t="n"/>
      <c r="F495" s="33" t="n"/>
      <c r="G495" s="33" t="n"/>
      <c r="H495" s="33" t="n"/>
      <c r="I495" s="34" t="n"/>
      <c r="J495" s="33" t="n"/>
      <c r="K495" s="33" t="n"/>
      <c r="L495" s="33" t="n"/>
      <c r="M495" s="35">
        <f>IF(H495="","",IFERROR(INDEX(Parceiros!$E$5:$E$54,MATCH(H495,Parceiros!$A$5:$A$54,0)),0))</f>
        <v/>
      </c>
      <c r="N495" s="36">
        <f>IF(OR(H495="",I495="",K495="Cancelado"),0,I495*N(M495))</f>
        <v/>
      </c>
      <c r="O495" s="37">
        <f>IF(ISNUMBER(A495),MONTH(A495),"")</f>
        <v/>
      </c>
      <c r="P495" s="37">
        <f>IF(ISNUMBER(A495),YEAR(A495),"")</f>
        <v/>
      </c>
    </row>
    <row r="496">
      <c r="A496" s="32" t="n"/>
      <c r="B496" s="33" t="n"/>
      <c r="C496" s="33" t="n"/>
      <c r="D496" s="33" t="n"/>
      <c r="E496" s="33" t="n"/>
      <c r="F496" s="33" t="n"/>
      <c r="G496" s="33" t="n"/>
      <c r="H496" s="33" t="n"/>
      <c r="I496" s="34" t="n"/>
      <c r="J496" s="33" t="n"/>
      <c r="K496" s="33" t="n"/>
      <c r="L496" s="33" t="n"/>
      <c r="M496" s="35">
        <f>IF(H496="","",IFERROR(INDEX(Parceiros!$E$5:$E$54,MATCH(H496,Parceiros!$A$5:$A$54,0)),0))</f>
        <v/>
      </c>
      <c r="N496" s="36">
        <f>IF(OR(H496="",I496="",K496="Cancelado"),0,I496*N(M496))</f>
        <v/>
      </c>
      <c r="O496" s="37">
        <f>IF(ISNUMBER(A496),MONTH(A496),"")</f>
        <v/>
      </c>
      <c r="P496" s="37">
        <f>IF(ISNUMBER(A496),YEAR(A496),"")</f>
        <v/>
      </c>
    </row>
    <row r="497">
      <c r="A497" s="32" t="n"/>
      <c r="B497" s="33" t="n"/>
      <c r="C497" s="33" t="n"/>
      <c r="D497" s="33" t="n"/>
      <c r="E497" s="33" t="n"/>
      <c r="F497" s="33" t="n"/>
      <c r="G497" s="33" t="n"/>
      <c r="H497" s="33" t="n"/>
      <c r="I497" s="34" t="n"/>
      <c r="J497" s="33" t="n"/>
      <c r="K497" s="33" t="n"/>
      <c r="L497" s="33" t="n"/>
      <c r="M497" s="35">
        <f>IF(H497="","",IFERROR(INDEX(Parceiros!$E$5:$E$54,MATCH(H497,Parceiros!$A$5:$A$54,0)),0))</f>
        <v/>
      </c>
      <c r="N497" s="36">
        <f>IF(OR(H497="",I497="",K497="Cancelado"),0,I497*N(M497))</f>
        <v/>
      </c>
      <c r="O497" s="37">
        <f>IF(ISNUMBER(A497),MONTH(A497),"")</f>
        <v/>
      </c>
      <c r="P497" s="37">
        <f>IF(ISNUMBER(A497),YEAR(A497),"")</f>
        <v/>
      </c>
    </row>
    <row r="498">
      <c r="A498" s="32" t="n"/>
      <c r="B498" s="33" t="n"/>
      <c r="C498" s="33" t="n"/>
      <c r="D498" s="33" t="n"/>
      <c r="E498" s="33" t="n"/>
      <c r="F498" s="33" t="n"/>
      <c r="G498" s="33" t="n"/>
      <c r="H498" s="33" t="n"/>
      <c r="I498" s="34" t="n"/>
      <c r="J498" s="33" t="n"/>
      <c r="K498" s="33" t="n"/>
      <c r="L498" s="33" t="n"/>
      <c r="M498" s="35">
        <f>IF(H498="","",IFERROR(INDEX(Parceiros!$E$5:$E$54,MATCH(H498,Parceiros!$A$5:$A$54,0)),0))</f>
        <v/>
      </c>
      <c r="N498" s="36">
        <f>IF(OR(H498="",I498="",K498="Cancelado"),0,I498*N(M498))</f>
        <v/>
      </c>
      <c r="O498" s="37">
        <f>IF(ISNUMBER(A498),MONTH(A498),"")</f>
        <v/>
      </c>
      <c r="P498" s="37">
        <f>IF(ISNUMBER(A498),YEAR(A498),"")</f>
        <v/>
      </c>
    </row>
    <row r="499">
      <c r="A499" s="32" t="n"/>
      <c r="B499" s="33" t="n"/>
      <c r="C499" s="33" t="n"/>
      <c r="D499" s="33" t="n"/>
      <c r="E499" s="33" t="n"/>
      <c r="F499" s="33" t="n"/>
      <c r="G499" s="33" t="n"/>
      <c r="H499" s="33" t="n"/>
      <c r="I499" s="34" t="n"/>
      <c r="J499" s="33" t="n"/>
      <c r="K499" s="33" t="n"/>
      <c r="L499" s="33" t="n"/>
      <c r="M499" s="35">
        <f>IF(H499="","",IFERROR(INDEX(Parceiros!$E$5:$E$54,MATCH(H499,Parceiros!$A$5:$A$54,0)),0))</f>
        <v/>
      </c>
      <c r="N499" s="36">
        <f>IF(OR(H499="",I499="",K499="Cancelado"),0,I499*N(M499))</f>
        <v/>
      </c>
      <c r="O499" s="37">
        <f>IF(ISNUMBER(A499),MONTH(A499),"")</f>
        <v/>
      </c>
      <c r="P499" s="37">
        <f>IF(ISNUMBER(A499),YEAR(A499),"")</f>
        <v/>
      </c>
    </row>
    <row r="500">
      <c r="A500" s="32" t="n"/>
      <c r="B500" s="33" t="n"/>
      <c r="C500" s="33" t="n"/>
      <c r="D500" s="33" t="n"/>
      <c r="E500" s="33" t="n"/>
      <c r="F500" s="33" t="n"/>
      <c r="G500" s="33" t="n"/>
      <c r="H500" s="33" t="n"/>
      <c r="I500" s="34" t="n"/>
      <c r="J500" s="33" t="n"/>
      <c r="K500" s="33" t="n"/>
      <c r="L500" s="33" t="n"/>
      <c r="M500" s="35">
        <f>IF(H500="","",IFERROR(INDEX(Parceiros!$E$5:$E$54,MATCH(H500,Parceiros!$A$5:$A$54,0)),0))</f>
        <v/>
      </c>
      <c r="N500" s="36">
        <f>IF(OR(H500="",I500="",K500="Cancelado"),0,I500*N(M500))</f>
        <v/>
      </c>
      <c r="O500" s="37">
        <f>IF(ISNUMBER(A500),MONTH(A500),"")</f>
        <v/>
      </c>
      <c r="P500" s="37">
        <f>IF(ISNUMBER(A500),YEAR(A500),"")</f>
        <v/>
      </c>
    </row>
    <row r="501">
      <c r="A501" s="32" t="n"/>
      <c r="B501" s="33" t="n"/>
      <c r="C501" s="33" t="n"/>
      <c r="D501" s="33" t="n"/>
      <c r="E501" s="33" t="n"/>
      <c r="F501" s="33" t="n"/>
      <c r="G501" s="33" t="n"/>
      <c r="H501" s="33" t="n"/>
      <c r="I501" s="34" t="n"/>
      <c r="J501" s="33" t="n"/>
      <c r="K501" s="33" t="n"/>
      <c r="L501" s="33" t="n"/>
      <c r="M501" s="35">
        <f>IF(H501="","",IFERROR(INDEX(Parceiros!$E$5:$E$54,MATCH(H501,Parceiros!$A$5:$A$54,0)),0))</f>
        <v/>
      </c>
      <c r="N501" s="36">
        <f>IF(OR(H501="",I501="",K501="Cancelado"),0,I501*N(M501))</f>
        <v/>
      </c>
      <c r="O501" s="37">
        <f>IF(ISNUMBER(A501),MONTH(A501),"")</f>
        <v/>
      </c>
      <c r="P501" s="37">
        <f>IF(ISNUMBER(A501),YEAR(A501),"")</f>
        <v/>
      </c>
    </row>
    <row r="502">
      <c r="A502" s="32" t="n"/>
      <c r="B502" s="33" t="n"/>
      <c r="C502" s="33" t="n"/>
      <c r="D502" s="33" t="n"/>
      <c r="E502" s="33" t="n"/>
      <c r="F502" s="33" t="n"/>
      <c r="G502" s="33" t="n"/>
      <c r="H502" s="33" t="n"/>
      <c r="I502" s="34" t="n"/>
      <c r="J502" s="33" t="n"/>
      <c r="K502" s="33" t="n"/>
      <c r="L502" s="33" t="n"/>
      <c r="M502" s="35">
        <f>IF(H502="","",IFERROR(INDEX(Parceiros!$E$5:$E$54,MATCH(H502,Parceiros!$A$5:$A$54,0)),0))</f>
        <v/>
      </c>
      <c r="N502" s="36">
        <f>IF(OR(H502="",I502="",K502="Cancelado"),0,I502*N(M502))</f>
        <v/>
      </c>
      <c r="O502" s="37">
        <f>IF(ISNUMBER(A502),MONTH(A502),"")</f>
        <v/>
      </c>
      <c r="P502" s="37">
        <f>IF(ISNUMBER(A502),YEAR(A502),"")</f>
        <v/>
      </c>
    </row>
    <row r="503">
      <c r="A503" s="32" t="n"/>
      <c r="B503" s="33" t="n"/>
      <c r="C503" s="33" t="n"/>
      <c r="D503" s="33" t="n"/>
      <c r="E503" s="33" t="n"/>
      <c r="F503" s="33" t="n"/>
      <c r="G503" s="33" t="n"/>
      <c r="H503" s="33" t="n"/>
      <c r="I503" s="34" t="n"/>
      <c r="J503" s="33" t="n"/>
      <c r="K503" s="33" t="n"/>
      <c r="L503" s="33" t="n"/>
      <c r="M503" s="35">
        <f>IF(H503="","",IFERROR(INDEX(Parceiros!$E$5:$E$54,MATCH(H503,Parceiros!$A$5:$A$54,0)),0))</f>
        <v/>
      </c>
      <c r="N503" s="36">
        <f>IF(OR(H503="",I503="",K503="Cancelado"),0,I503*N(M503))</f>
        <v/>
      </c>
      <c r="O503" s="37">
        <f>IF(ISNUMBER(A503),MONTH(A503),"")</f>
        <v/>
      </c>
      <c r="P503" s="37">
        <f>IF(ISNUMBER(A503),YEAR(A503),"")</f>
        <v/>
      </c>
    </row>
    <row r="504">
      <c r="A504" s="32" t="n"/>
      <c r="B504" s="33" t="n"/>
      <c r="C504" s="33" t="n"/>
      <c r="D504" s="33" t="n"/>
      <c r="E504" s="33" t="n"/>
      <c r="F504" s="33" t="n"/>
      <c r="G504" s="33" t="n"/>
      <c r="H504" s="33" t="n"/>
      <c r="I504" s="34" t="n"/>
      <c r="J504" s="33" t="n"/>
      <c r="K504" s="33" t="n"/>
      <c r="L504" s="33" t="n"/>
      <c r="M504" s="35">
        <f>IF(H504="","",IFERROR(INDEX(Parceiros!$E$5:$E$54,MATCH(H504,Parceiros!$A$5:$A$54,0)),0))</f>
        <v/>
      </c>
      <c r="N504" s="36">
        <f>IF(OR(H504="",I504="",K504="Cancelado"),0,I504*N(M504))</f>
        <v/>
      </c>
      <c r="O504" s="37">
        <f>IF(ISNUMBER(A504),MONTH(A504),"")</f>
        <v/>
      </c>
      <c r="P504" s="37">
        <f>IF(ISNUMBER(A504),YEAR(A504),"")</f>
        <v/>
      </c>
    </row>
  </sheetData>
  <autoFilter ref="A4:P504"/>
  <mergeCells count="2">
    <mergeCell ref="A1:P1"/>
    <mergeCell ref="A2:P2"/>
  </mergeCells>
  <conditionalFormatting sqref="K5:K504">
    <cfRule type="cellIs" priority="1" operator="equal" dxfId="0">
      <formula>"Pendente"</formula>
    </cfRule>
    <cfRule type="cellIs" priority="2" operator="equal" dxfId="1">
      <formula>"Cancelado"</formula>
    </cfRule>
  </conditionalFormatting>
  <conditionalFormatting sqref="L5:L504">
    <cfRule type="cellIs" priority="3" operator="equal" dxfId="2">
      <formula>"REPROVADO"</formula>
    </cfRule>
    <cfRule type="cellIs" priority="4" operator="equal" dxfId="3">
      <formula>"INCONCLUSIVO"</formula>
    </cfRule>
    <cfRule type="cellIs" priority="5" operator="equal" dxfId="4">
      <formula>"APROVADO COM APONTAMENTOS"</formula>
    </cfRule>
    <cfRule type="cellIs" priority="6" operator="equal" dxfId="5">
      <formula>"APROVADO"</formula>
    </cfRule>
  </conditionalFormatting>
  <dataValidations count="7">
    <dataValidation sqref="A5:A504" showDropDown="0" showInputMessage="0" showErrorMessage="1" allowBlank="1" error="Digite uma data válida (dd/mm/aaaa)." type="date" operator="between">
      <formula1>36526</formula1>
      <formula2>73051</formula2>
    </dataValidation>
    <dataValidation sqref="F5:F504" showDropDown="0" showInputMessage="0" showErrorMessage="1" allowBlank="1" errorTitle="Valor inválido" error="Escolha um valor da lista." type="list">
      <formula1>"Básica,Intermediária,Completa,Moto,Utilitário"</formula1>
    </dataValidation>
    <dataValidation sqref="G5:G504" showDropDown="0" showInputMessage="0" showErrorMessage="1" allowBlank="1" errorTitle="Valor inválido" error="Escolha um valor da lista." type="list">
      <formula1>"Particular,Loja,Indicação,Anúncio"</formula1>
    </dataValidation>
    <dataValidation sqref="H5:H504" showDropDown="0" showInputMessage="1" showErrorMessage="1" allowBlank="1" errorTitle="Valor inválido" error="Escolha um valor da lista." prompt="Cadastre na aba Parceiros. Deixe vazio se não houver." type="list">
      <formula1>Parceiros!$A$5:$A$54</formula1>
    </dataValidation>
    <dataValidation sqref="J5:J504" showDropDown="0" showInputMessage="0" showErrorMessage="1" allowBlank="1" errorTitle="Valor inválido" error="Escolha um valor da lista." type="list">
      <formula1>"Pix,Dinheiro,Cartão débito,Cartão crédito,Boleto,Faturado (loja)"</formula1>
    </dataValidation>
    <dataValidation sqref="K5:K504" showDropDown="0" showInputMessage="0" showErrorMessage="1" allowBlank="1" errorTitle="Valor inválido" error="Escolha um valor da lista." type="list">
      <formula1>"Pago,Pendente,Cancelado"</formula1>
    </dataValidation>
    <dataValidation sqref="L5:L504" showDropDown="0" showInputMessage="0" showErrorMessage="1" allowBlank="1" errorTitle="Valor inválido" error="Escolha um valor da lista." type="list">
      <formula1>"APROVADO,APROVADO COM APONTAMENTOS,REPROVADO,INCONCLUSIVO"</formula1>
    </dataValidation>
  </dataValidations>
  <printOptions horizontalCentered="1"/>
  <pageMargins left="0.4" right="0.4" top="0.5" bottom="0.5" header="0.5" footer="0.5"/>
  <pageSetup orientation="landscape" paperSize="9" fitToHeight="0" fitToWidth="1"/>
  <headerFooter>
    <oddHeader/>
    <oddFooter>&amp;L&amp;8 Protocolo Cautelar&amp;R&amp;8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18" customWidth="1" min="3" max="3"/>
    <col width="30" customWidth="1" min="4" max="4"/>
    <col width="12" customWidth="1" min="5" max="5"/>
    <col width="28" customWidth="1" min="6" max="6"/>
  </cols>
  <sheetData>
    <row r="1" ht="28" customHeight="1">
      <c r="A1" s="17" t="inlineStr">
        <is>
          <t>PROTOCOLO CAUTELAR  |  PARCEIROS (LOJAS / INDICADORES)</t>
        </is>
      </c>
      <c r="B1" s="1" t="n"/>
      <c r="C1" s="1" t="n"/>
      <c r="D1" s="1" t="n"/>
      <c r="E1" s="1" t="n"/>
      <c r="F1" s="1" t="n"/>
    </row>
    <row r="3" ht="28" customHeight="1">
      <c r="A3" s="30" t="inlineStr">
        <is>
          <t>Parceiro = quem indicou/encaminhou o cliente. Comissão % incide sobre o valor da vistoria. Dados de contato também são dados pessoais (LGPD).</t>
        </is>
      </c>
    </row>
    <row r="4" ht="30" customHeight="1">
      <c r="A4" s="23" t="inlineStr">
        <is>
          <t>Parceiro</t>
        </is>
      </c>
      <c r="B4" s="23" t="inlineStr">
        <is>
          <t>Contato</t>
        </is>
      </c>
      <c r="C4" s="23" t="inlineStr">
        <is>
          <t>Telefone</t>
        </is>
      </c>
      <c r="D4" s="23" t="inlineStr">
        <is>
          <t>Condição combinada</t>
        </is>
      </c>
      <c r="E4" s="23" t="inlineStr">
        <is>
          <t>Comissão %</t>
        </is>
      </c>
      <c r="F4" s="23" t="inlineStr">
        <is>
          <t>Observação</t>
        </is>
      </c>
    </row>
    <row r="5">
      <c r="A5" s="11" t="inlineStr">
        <is>
          <t>Loja Exemplo A</t>
        </is>
      </c>
      <c r="B5" s="11" t="inlineStr">
        <is>
          <t>Responsável A</t>
        </is>
      </c>
      <c r="C5" s="11" t="inlineStr">
        <is>
          <t>(00) 0000-0000</t>
        </is>
      </c>
      <c r="D5" s="11" t="inlineStr">
        <is>
          <t>Faturado quinzenal</t>
        </is>
      </c>
      <c r="E5" s="38" t="n">
        <v>0.1</v>
      </c>
      <c r="F5" s="11" t="inlineStr"/>
    </row>
    <row r="6">
      <c r="A6" s="11" t="inlineStr">
        <is>
          <t>Loja Exemplo B</t>
        </is>
      </c>
      <c r="B6" s="11" t="inlineStr">
        <is>
          <t>Responsável B</t>
        </is>
      </c>
      <c r="C6" s="11" t="inlineStr">
        <is>
          <t>(00) 0000-0000</t>
        </is>
      </c>
      <c r="D6" s="11" t="inlineStr">
        <is>
          <t>Pagamento no ato</t>
        </is>
      </c>
      <c r="E6" s="38" t="n">
        <v>0.05</v>
      </c>
      <c r="F6" s="11" t="inlineStr"/>
    </row>
    <row r="7">
      <c r="A7" s="11" t="inlineStr">
        <is>
          <t>Indicador Exemplo</t>
        </is>
      </c>
      <c r="B7" s="11" t="inlineStr">
        <is>
          <t>Contato C</t>
        </is>
      </c>
      <c r="C7" s="11" t="inlineStr">
        <is>
          <t>(00) 00000-0000</t>
        </is>
      </c>
      <c r="D7" s="11" t="inlineStr">
        <is>
          <t>Indicação avulsa</t>
        </is>
      </c>
      <c r="E7" s="38" t="n">
        <v>0.1</v>
      </c>
      <c r="F7" s="11" t="inlineStr"/>
    </row>
    <row r="8">
      <c r="A8" s="11" t="n"/>
      <c r="B8" s="11" t="n"/>
      <c r="C8" s="11" t="n"/>
      <c r="D8" s="11" t="n"/>
      <c r="E8" s="38" t="n"/>
      <c r="F8" s="11" t="n"/>
    </row>
    <row r="9">
      <c r="A9" s="11" t="n"/>
      <c r="B9" s="11" t="n"/>
      <c r="C9" s="11" t="n"/>
      <c r="D9" s="11" t="n"/>
      <c r="E9" s="38" t="n"/>
      <c r="F9" s="11" t="n"/>
    </row>
    <row r="10">
      <c r="A10" s="11" t="n"/>
      <c r="B10" s="11" t="n"/>
      <c r="C10" s="11" t="n"/>
      <c r="D10" s="11" t="n"/>
      <c r="E10" s="38" t="n"/>
      <c r="F10" s="11" t="n"/>
    </row>
    <row r="11">
      <c r="A11" s="11" t="n"/>
      <c r="B11" s="11" t="n"/>
      <c r="C11" s="11" t="n"/>
      <c r="D11" s="11" t="n"/>
      <c r="E11" s="38" t="n"/>
      <c r="F11" s="11" t="n"/>
    </row>
    <row r="12">
      <c r="A12" s="11" t="n"/>
      <c r="B12" s="11" t="n"/>
      <c r="C12" s="11" t="n"/>
      <c r="D12" s="11" t="n"/>
      <c r="E12" s="38" t="n"/>
      <c r="F12" s="11" t="n"/>
    </row>
    <row r="13">
      <c r="A13" s="11" t="n"/>
      <c r="B13" s="11" t="n"/>
      <c r="C13" s="11" t="n"/>
      <c r="D13" s="11" t="n"/>
      <c r="E13" s="38" t="n"/>
      <c r="F13" s="11" t="n"/>
    </row>
    <row r="14">
      <c r="A14" s="11" t="n"/>
      <c r="B14" s="11" t="n"/>
      <c r="C14" s="11" t="n"/>
      <c r="D14" s="11" t="n"/>
      <c r="E14" s="38" t="n"/>
      <c r="F14" s="11" t="n"/>
    </row>
    <row r="15">
      <c r="A15" s="11" t="n"/>
      <c r="B15" s="11" t="n"/>
      <c r="C15" s="11" t="n"/>
      <c r="D15" s="11" t="n"/>
      <c r="E15" s="38" t="n"/>
      <c r="F15" s="11" t="n"/>
    </row>
    <row r="16">
      <c r="A16" s="11" t="n"/>
      <c r="B16" s="11" t="n"/>
      <c r="C16" s="11" t="n"/>
      <c r="D16" s="11" t="n"/>
      <c r="E16" s="38" t="n"/>
      <c r="F16" s="11" t="n"/>
    </row>
    <row r="17">
      <c r="A17" s="11" t="n"/>
      <c r="B17" s="11" t="n"/>
      <c r="C17" s="11" t="n"/>
      <c r="D17" s="11" t="n"/>
      <c r="E17" s="38" t="n"/>
      <c r="F17" s="11" t="n"/>
    </row>
    <row r="18">
      <c r="A18" s="11" t="n"/>
      <c r="B18" s="11" t="n"/>
      <c r="C18" s="11" t="n"/>
      <c r="D18" s="11" t="n"/>
      <c r="E18" s="38" t="n"/>
      <c r="F18" s="11" t="n"/>
    </row>
    <row r="19">
      <c r="A19" s="11" t="n"/>
      <c r="B19" s="11" t="n"/>
      <c r="C19" s="11" t="n"/>
      <c r="D19" s="11" t="n"/>
      <c r="E19" s="38" t="n"/>
      <c r="F19" s="11" t="n"/>
    </row>
    <row r="20">
      <c r="A20" s="11" t="n"/>
      <c r="B20" s="11" t="n"/>
      <c r="C20" s="11" t="n"/>
      <c r="D20" s="11" t="n"/>
      <c r="E20" s="38" t="n"/>
      <c r="F20" s="11" t="n"/>
    </row>
    <row r="21">
      <c r="A21" s="11" t="n"/>
      <c r="B21" s="11" t="n"/>
      <c r="C21" s="11" t="n"/>
      <c r="D21" s="11" t="n"/>
      <c r="E21" s="38" t="n"/>
      <c r="F21" s="11" t="n"/>
    </row>
    <row r="22">
      <c r="A22" s="11" t="n"/>
      <c r="B22" s="11" t="n"/>
      <c r="C22" s="11" t="n"/>
      <c r="D22" s="11" t="n"/>
      <c r="E22" s="38" t="n"/>
      <c r="F22" s="11" t="n"/>
    </row>
    <row r="23">
      <c r="A23" s="11" t="n"/>
      <c r="B23" s="11" t="n"/>
      <c r="C23" s="11" t="n"/>
      <c r="D23" s="11" t="n"/>
      <c r="E23" s="38" t="n"/>
      <c r="F23" s="11" t="n"/>
    </row>
    <row r="24">
      <c r="A24" s="11" t="n"/>
      <c r="B24" s="11" t="n"/>
      <c r="C24" s="11" t="n"/>
      <c r="D24" s="11" t="n"/>
      <c r="E24" s="38" t="n"/>
      <c r="F24" s="11" t="n"/>
    </row>
    <row r="25">
      <c r="A25" s="11" t="n"/>
      <c r="B25" s="11" t="n"/>
      <c r="C25" s="11" t="n"/>
      <c r="D25" s="11" t="n"/>
      <c r="E25" s="38" t="n"/>
      <c r="F25" s="11" t="n"/>
    </row>
    <row r="26">
      <c r="A26" s="11" t="n"/>
      <c r="B26" s="11" t="n"/>
      <c r="C26" s="11" t="n"/>
      <c r="D26" s="11" t="n"/>
      <c r="E26" s="38" t="n"/>
      <c r="F26" s="11" t="n"/>
    </row>
    <row r="27">
      <c r="A27" s="11" t="n"/>
      <c r="B27" s="11" t="n"/>
      <c r="C27" s="11" t="n"/>
      <c r="D27" s="11" t="n"/>
      <c r="E27" s="38" t="n"/>
      <c r="F27" s="11" t="n"/>
    </row>
    <row r="28">
      <c r="A28" s="11" t="n"/>
      <c r="B28" s="11" t="n"/>
      <c r="C28" s="11" t="n"/>
      <c r="D28" s="11" t="n"/>
      <c r="E28" s="38" t="n"/>
      <c r="F28" s="11" t="n"/>
    </row>
    <row r="29">
      <c r="A29" s="11" t="n"/>
      <c r="B29" s="11" t="n"/>
      <c r="C29" s="11" t="n"/>
      <c r="D29" s="11" t="n"/>
      <c r="E29" s="38" t="n"/>
      <c r="F29" s="11" t="n"/>
    </row>
    <row r="30">
      <c r="A30" s="11" t="n"/>
      <c r="B30" s="11" t="n"/>
      <c r="C30" s="11" t="n"/>
      <c r="D30" s="11" t="n"/>
      <c r="E30" s="38" t="n"/>
      <c r="F30" s="11" t="n"/>
    </row>
    <row r="31">
      <c r="A31" s="11" t="n"/>
      <c r="B31" s="11" t="n"/>
      <c r="C31" s="11" t="n"/>
      <c r="D31" s="11" t="n"/>
      <c r="E31" s="38" t="n"/>
      <c r="F31" s="11" t="n"/>
    </row>
    <row r="32">
      <c r="A32" s="11" t="n"/>
      <c r="B32" s="11" t="n"/>
      <c r="C32" s="11" t="n"/>
      <c r="D32" s="11" t="n"/>
      <c r="E32" s="38" t="n"/>
      <c r="F32" s="11" t="n"/>
    </row>
    <row r="33">
      <c r="A33" s="11" t="n"/>
      <c r="B33" s="11" t="n"/>
      <c r="C33" s="11" t="n"/>
      <c r="D33" s="11" t="n"/>
      <c r="E33" s="38" t="n"/>
      <c r="F33" s="11" t="n"/>
    </row>
    <row r="34">
      <c r="A34" s="11" t="n"/>
      <c r="B34" s="11" t="n"/>
      <c r="C34" s="11" t="n"/>
      <c r="D34" s="11" t="n"/>
      <c r="E34" s="38" t="n"/>
      <c r="F34" s="11" t="n"/>
    </row>
    <row r="35">
      <c r="A35" s="11" t="n"/>
      <c r="B35" s="11" t="n"/>
      <c r="C35" s="11" t="n"/>
      <c r="D35" s="11" t="n"/>
      <c r="E35" s="38" t="n"/>
      <c r="F35" s="11" t="n"/>
    </row>
    <row r="36">
      <c r="A36" s="11" t="n"/>
      <c r="B36" s="11" t="n"/>
      <c r="C36" s="11" t="n"/>
      <c r="D36" s="11" t="n"/>
      <c r="E36" s="38" t="n"/>
      <c r="F36" s="11" t="n"/>
    </row>
    <row r="37">
      <c r="A37" s="11" t="n"/>
      <c r="B37" s="11" t="n"/>
      <c r="C37" s="11" t="n"/>
      <c r="D37" s="11" t="n"/>
      <c r="E37" s="38" t="n"/>
      <c r="F37" s="11" t="n"/>
    </row>
    <row r="38">
      <c r="A38" s="11" t="n"/>
      <c r="B38" s="11" t="n"/>
      <c r="C38" s="11" t="n"/>
      <c r="D38" s="11" t="n"/>
      <c r="E38" s="38" t="n"/>
      <c r="F38" s="11" t="n"/>
    </row>
    <row r="39">
      <c r="A39" s="11" t="n"/>
      <c r="B39" s="11" t="n"/>
      <c r="C39" s="11" t="n"/>
      <c r="D39" s="11" t="n"/>
      <c r="E39" s="38" t="n"/>
      <c r="F39" s="11" t="n"/>
    </row>
    <row r="40">
      <c r="A40" s="11" t="n"/>
      <c r="B40" s="11" t="n"/>
      <c r="C40" s="11" t="n"/>
      <c r="D40" s="11" t="n"/>
      <c r="E40" s="38" t="n"/>
      <c r="F40" s="11" t="n"/>
    </row>
    <row r="41">
      <c r="A41" s="11" t="n"/>
      <c r="B41" s="11" t="n"/>
      <c r="C41" s="11" t="n"/>
      <c r="D41" s="11" t="n"/>
      <c r="E41" s="38" t="n"/>
      <c r="F41" s="11" t="n"/>
    </row>
    <row r="42">
      <c r="A42" s="11" t="n"/>
      <c r="B42" s="11" t="n"/>
      <c r="C42" s="11" t="n"/>
      <c r="D42" s="11" t="n"/>
      <c r="E42" s="38" t="n"/>
      <c r="F42" s="11" t="n"/>
    </row>
    <row r="43">
      <c r="A43" s="11" t="n"/>
      <c r="B43" s="11" t="n"/>
      <c r="C43" s="11" t="n"/>
      <c r="D43" s="11" t="n"/>
      <c r="E43" s="38" t="n"/>
      <c r="F43" s="11" t="n"/>
    </row>
    <row r="44">
      <c r="A44" s="11" t="n"/>
      <c r="B44" s="11" t="n"/>
      <c r="C44" s="11" t="n"/>
      <c r="D44" s="11" t="n"/>
      <c r="E44" s="38" t="n"/>
      <c r="F44" s="11" t="n"/>
    </row>
    <row r="45">
      <c r="A45" s="11" t="n"/>
      <c r="B45" s="11" t="n"/>
      <c r="C45" s="11" t="n"/>
      <c r="D45" s="11" t="n"/>
      <c r="E45" s="38" t="n"/>
      <c r="F45" s="11" t="n"/>
    </row>
    <row r="46">
      <c r="A46" s="11" t="n"/>
      <c r="B46" s="11" t="n"/>
      <c r="C46" s="11" t="n"/>
      <c r="D46" s="11" t="n"/>
      <c r="E46" s="38" t="n"/>
      <c r="F46" s="11" t="n"/>
    </row>
    <row r="47">
      <c r="A47" s="11" t="n"/>
      <c r="B47" s="11" t="n"/>
      <c r="C47" s="11" t="n"/>
      <c r="D47" s="11" t="n"/>
      <c r="E47" s="38" t="n"/>
      <c r="F47" s="11" t="n"/>
    </row>
    <row r="48">
      <c r="A48" s="11" t="n"/>
      <c r="B48" s="11" t="n"/>
      <c r="C48" s="11" t="n"/>
      <c r="D48" s="11" t="n"/>
      <c r="E48" s="38" t="n"/>
      <c r="F48" s="11" t="n"/>
    </row>
    <row r="49">
      <c r="A49" s="11" t="n"/>
      <c r="B49" s="11" t="n"/>
      <c r="C49" s="11" t="n"/>
      <c r="D49" s="11" t="n"/>
      <c r="E49" s="38" t="n"/>
      <c r="F49" s="11" t="n"/>
    </row>
    <row r="50">
      <c r="A50" s="11" t="n"/>
      <c r="B50" s="11" t="n"/>
      <c r="C50" s="11" t="n"/>
      <c r="D50" s="11" t="n"/>
      <c r="E50" s="38" t="n"/>
      <c r="F50" s="11" t="n"/>
    </row>
    <row r="51">
      <c r="A51" s="11" t="n"/>
      <c r="B51" s="11" t="n"/>
      <c r="C51" s="11" t="n"/>
      <c r="D51" s="11" t="n"/>
      <c r="E51" s="38" t="n"/>
      <c r="F51" s="11" t="n"/>
    </row>
    <row r="52">
      <c r="A52" s="11" t="n"/>
      <c r="B52" s="11" t="n"/>
      <c r="C52" s="11" t="n"/>
      <c r="D52" s="11" t="n"/>
      <c r="E52" s="38" t="n"/>
      <c r="F52" s="11" t="n"/>
    </row>
    <row r="53">
      <c r="A53" s="11" t="n"/>
      <c r="B53" s="11" t="n"/>
      <c r="C53" s="11" t="n"/>
      <c r="D53" s="11" t="n"/>
      <c r="E53" s="38" t="n"/>
      <c r="F53" s="11" t="n"/>
    </row>
    <row r="54">
      <c r="A54" s="11" t="n"/>
      <c r="B54" s="11" t="n"/>
      <c r="C54" s="11" t="n"/>
      <c r="D54" s="11" t="n"/>
      <c r="E54" s="38" t="n"/>
      <c r="F54" s="11" t="n"/>
    </row>
  </sheetData>
  <mergeCells count="2">
    <mergeCell ref="A3:F3"/>
    <mergeCell ref="A1:F1"/>
  </mergeCells>
  <printOptions horizontalCentered="1"/>
  <pageMargins left="0.4" right="0.4" top="0.5" bottom="0.5" header="0.5" footer="0.5"/>
  <pageSetup orientation="landscape" paperSize="9" fitToHeight="0" fitToWidth="1"/>
  <headerFooter>
    <oddHeader/>
    <oddFooter>&amp;L&amp;8 Protocolo Cautelar&amp;R&amp;8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2026-09-30T19:45:35Z</dcterms:created>
  <dcterms:modified xmlns:dcterms="http://purl.org/dc/terms/" xmlns:xsi="http://www.w3.org/2001/XMLSchema-instance" xsi:type="dcterms:W3CDTF">2026-09-30T19:45:36Z</dcterms:modified>
</cp:coreProperties>
</file>