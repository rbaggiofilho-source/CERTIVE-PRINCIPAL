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ecificação" sheetId="2" state="visible" r:id="rId2"/>
  </sheets>
  <definedNames>
    <definedName name="_xlnm.Print_Area" localSheetId="0">'Capa'!$A$1:$F$27</definedName>
    <definedName name="_xlnm.Print_Area" localSheetId="1">'Precificação'!$A$1:$G$43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;-R$ #,##0.00;&quot;-&quot;"/>
    <numFmt numFmtId="165" formatCode="0.0%;-0.0%;&quot;-&quot;"/>
    <numFmt numFmtId="166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2A900"/>
      <sz val="24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0000FF"/>
      <sz val="11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7A8591"/>
      <sz val="8"/>
    </font>
    <font>
      <name val="Calibri"/>
      <b val="1"/>
      <color rgb="00F2A900"/>
      <sz val="14"/>
    </font>
    <font>
      <name val="Calibri"/>
      <i val="1"/>
      <color rgb="004E5864"/>
      <sz val="9"/>
    </font>
    <font>
      <name val="Calibri"/>
      <color rgb="004E5864"/>
      <sz val="10"/>
    </font>
    <font>
      <name val="Calibri"/>
      <b val="1"/>
      <color rgb="004E5864"/>
      <sz val="10"/>
    </font>
    <font>
      <name val="Calibri"/>
      <b val="1"/>
      <color rgb="00000000"/>
      <sz val="11"/>
    </font>
    <font>
      <name val="Calibri"/>
      <i val="1"/>
      <color rgb="001A1F26"/>
      <sz val="9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FFF4D6"/>
        <bgColor rgb="00FFF4D6"/>
      </patternFill>
    </fill>
    <fill>
      <patternFill patternType="solid">
        <fgColor rgb="00EEF3FF"/>
        <bgColor rgb="00EEF3FF"/>
      </patternFill>
    </fill>
    <fill>
      <patternFill patternType="solid">
        <fgColor rgb="00F5F6F8"/>
        <bgColor rgb="00F5F6F8"/>
      </patternFill>
    </fill>
  </fills>
  <borders count="3">
    <border>
      <left/>
      <right/>
      <top/>
      <bottom/>
      <diagonal/>
    </border>
    <border>
      <left style="dashed">
        <color rgb="00B87F00"/>
      </left>
      <right style="dashed">
        <color rgb="00B87F00"/>
      </right>
      <top style="dashed">
        <color rgb="00B87F00"/>
      </top>
      <bottom style="dashed">
        <color rgb="00B87F00"/>
      </bottom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6" borderId="2" pivotButton="0" quotePrefix="0" xfId="0"/>
    <xf numFmtId="0" fontId="6" fillId="2" borderId="0" pivotButton="0" quotePrefix="0" xfId="0"/>
    <xf numFmtId="4" fontId="8" fillId="2" borderId="2" pivotButton="0" quotePrefix="0" xfId="0"/>
    <xf numFmtId="0" fontId="9" fillId="3" borderId="2" pivotButton="0" quotePrefix="0" xfId="0"/>
    <xf numFmtId="0" fontId="10" fillId="2" borderId="0" applyAlignment="1" pivotButton="0" quotePrefix="0" xfId="0">
      <alignment wrapText="1"/>
    </xf>
    <xf numFmtId="0" fontId="11" fillId="3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164" fontId="7" fillId="6" borderId="2" pivotButton="0" quotePrefix="0" xfId="0"/>
    <xf numFmtId="0" fontId="14" fillId="7" borderId="2" applyAlignment="1" pivotButton="0" quotePrefix="0" xfId="0">
      <alignment horizontal="left" vertical="center" wrapText="1"/>
    </xf>
    <xf numFmtId="164" fontId="15" fillId="0" borderId="2" pivotButton="0" quotePrefix="0" xfId="0"/>
    <xf numFmtId="1" fontId="7" fillId="6" borderId="2" pivotButton="0" quotePrefix="0" xfId="0"/>
    <xf numFmtId="165" fontId="7" fillId="6" borderId="2" pivotButton="0" quotePrefix="0" xfId="0"/>
    <xf numFmtId="165" fontId="8" fillId="0" borderId="2" pivotButton="0" quotePrefix="0" xfId="0"/>
    <xf numFmtId="166" fontId="7" fillId="6" borderId="2" applyAlignment="1" pivotButton="0" quotePrefix="0" xfId="0">
      <alignment horizontal="center" vertical="center" wrapText="1"/>
    </xf>
    <xf numFmtId="1" fontId="7" fillId="6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164" fontId="15" fillId="0" borderId="2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 vertical="center" wrapText="1"/>
    </xf>
    <xf numFmtId="0" fontId="16" fillId="5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1">
    <dxf>
      <font>
        <name val="Calibri"/>
        <b val="1"/>
        <color rgb="00FFFFFF"/>
      </font>
      <fill>
        <patternFill patternType="solid">
          <fgColor rgb="00C62828"/>
          <bgColor rgb="00C6282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Protocolo Cautelar</author>
  </authors>
  <commentList>
    <comment ref="B10" authorId="0" shapeId="0">
      <text>
        <t>Substitua pelo seu nome/empresa ou apague o texto e use Inserir &gt; Imagem para colocar sua logo sobre esta área.</t>
      </text>
    </comment>
  </commentList>
</comments>
</file>

<file path=xl/comments/comment2.xml><?xml version="1.0" encoding="utf-8"?>
<comments xmlns="http://schemas.openxmlformats.org/spreadsheetml/2006/main">
  <authors>
    <author>Protocolo Cautelar</author>
  </authors>
  <commentList>
    <comment ref="E2" authorId="0" shapeId="0">
      <text>
        <t>Substitua pelo seu nome/empresa ou apague o texto e use Inserir &gt; Imagem para colocar sua logo sobre esta área.</t>
      </text>
    </comment>
    <comment ref="A11" authorId="0" shapeId="0">
      <text>
        <t>Ex.: medidor, scanner OBD2, lanterna, etc. Some o valor de compra e divida pelos meses de vida útil estimados.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PROTOCOLO CAUTELAR</t>
        </is>
      </c>
      <c r="F2" s="1" t="n"/>
    </row>
    <row r="3">
      <c r="A3" s="1" t="n"/>
      <c r="B3" s="3" t="inlineStr">
        <is>
          <t>O sistema do vistoriador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Precificação por custo/hora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7" t="inlineStr">
        <is>
          <t>[ SUA LOGO / SEU NOME AQUI ]</t>
        </is>
      </c>
      <c r="C10" s="8" t="n"/>
      <c r="D10" s="8" t="n"/>
      <c r="E10" s="8" t="n"/>
      <c r="F10" s="6" t="n"/>
    </row>
    <row r="11" ht="20" customHeight="1">
      <c r="A11" s="6" t="n"/>
      <c r="B11" s="8" t="n"/>
      <c r="C11" s="8" t="n"/>
      <c r="D11" s="8" t="n"/>
      <c r="E11" s="8" t="n"/>
      <c r="F11" s="6" t="n"/>
    </row>
    <row r="12" ht="20" customHeight="1">
      <c r="A12" s="6" t="n"/>
      <c r="B12" s="8" t="n"/>
      <c r="C12" s="8" t="n"/>
      <c r="D12" s="8" t="n"/>
      <c r="E12" s="8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9" t="inlineStr">
        <is>
          <t>COMO USAR</t>
        </is>
      </c>
      <c r="C14" s="6" t="n"/>
      <c r="D14" s="6" t="n"/>
      <c r="E14" s="6" t="n"/>
      <c r="F14" s="6" t="n"/>
    </row>
    <row r="15" ht="32" customHeight="1">
      <c r="A15" s="6" t="n"/>
      <c r="B15" s="10" t="inlineStr">
        <is>
          <t>1. Substitua os valores azuis (todos FICTÍCIOS) pelos seus: custos fixos mensais, horas produtivas, custos por vistoria e percentuais.</t>
        </is>
      </c>
      <c r="F15" s="6" t="n"/>
    </row>
    <row r="16" ht="32" customHeight="1">
      <c r="A16" s="6" t="n"/>
      <c r="B16" s="10" t="inlineStr">
        <is>
          <t>2. O custo fixo é rateado por hora produtiva; cada tipo de vistoria recebe o custo das horas que consome + seus custos variáveis.</t>
        </is>
      </c>
      <c r="F16" s="6" t="n"/>
    </row>
    <row r="17" ht="32" customHeight="1">
      <c r="A17" s="6" t="n"/>
      <c r="B17" s="10" t="inlineStr">
        <is>
          <t>3. Preço mínimo cobre custos e impostos/taxas (margem zero). Preço sugerido inclui a margem desejada sobre o faturamento.</t>
        </is>
      </c>
      <c r="F17" s="6" t="n"/>
    </row>
    <row r="18" ht="32" customHeight="1">
      <c r="A18" s="6" t="n"/>
      <c r="B18" s="10" t="inlineStr">
        <is>
          <t>4. O ponto de equilíbrio mostra quantas vistorias/mês (de cada tipo, isoladamente) pagam o custo fixo ao preço sugerido.</t>
        </is>
      </c>
      <c r="F18" s="6" t="n"/>
    </row>
    <row r="19" ht="32" customHeight="1">
      <c r="A19" s="6" t="n"/>
      <c r="B19" s="10" t="inlineStr">
        <is>
          <t>5. Tributos variam por regime e município: confirme a alíquota com seu contador [VERIFICAR].</t>
        </is>
      </c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9" t="inlineStr">
        <is>
          <t>LEGENDA DE CORES</t>
        </is>
      </c>
      <c r="C21" s="6" t="n"/>
      <c r="D21" s="6" t="n"/>
      <c r="E21" s="6" t="n"/>
      <c r="F21" s="6" t="n"/>
    </row>
    <row r="22">
      <c r="A22" s="6" t="n"/>
      <c r="B22" s="11" t="inlineStr">
        <is>
          <t>1234,00</t>
        </is>
      </c>
      <c r="C22" s="12" t="inlineStr">
        <is>
          <t>Texto AZUL (fundo azul-claro) = ENTRADA: você digita ou escolhe na lista.</t>
        </is>
      </c>
      <c r="F22" s="6" t="n"/>
    </row>
    <row r="23">
      <c r="A23" s="6" t="n"/>
      <c r="B23" s="13">
        <f>2*617</f>
        <v/>
      </c>
      <c r="C23" s="12" t="inlineStr">
        <is>
          <t>Texto PRETO = FÓRMULA: calculado automaticamente. Não digite por cima.</t>
        </is>
      </c>
      <c r="F23" s="6" t="n"/>
    </row>
    <row r="24">
      <c r="A24" s="6" t="n"/>
      <c r="B24" s="14" t="inlineStr">
        <is>
          <t>Cabeçalho</t>
        </is>
      </c>
      <c r="C24" s="12" t="inlineStr">
        <is>
          <t>Faixa escura = títulos de colunas (não editar).</t>
        </is>
      </c>
      <c r="F24" s="6" t="n"/>
    </row>
    <row r="25">
      <c r="A25" s="6" t="n"/>
      <c r="B25" s="6" t="n"/>
      <c r="C25" s="6" t="n"/>
      <c r="D25" s="6" t="n"/>
      <c r="E25" s="6" t="n"/>
      <c r="F25" s="6" t="n"/>
    </row>
    <row r="26" ht="24" customHeight="1">
      <c r="A26" s="6" t="n"/>
      <c r="B26" s="15" t="inlineStr">
        <is>
          <t>Os valores de exemplo são fictícios. Placas de exemplo: ABC1D23 / XXX0X00. Material de apoio: não substitui norma, perícia oficial nem vistoria de transferência.</t>
        </is>
      </c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13">
    <mergeCell ref="B17:E17"/>
    <mergeCell ref="B18:E18"/>
    <mergeCell ref="B26:E26"/>
    <mergeCell ref="B10:E12"/>
    <mergeCell ref="C23:E23"/>
    <mergeCell ref="C22:E22"/>
    <mergeCell ref="B16:E16"/>
    <mergeCell ref="B15:E15"/>
    <mergeCell ref="B3:E3"/>
    <mergeCell ref="B2:E2"/>
    <mergeCell ref="B19:E19"/>
    <mergeCell ref="B5:E6"/>
    <mergeCell ref="C24:E24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6" t="inlineStr">
        <is>
          <t>PROTOCOLO CAUTELAR  |  PRECIFICAÇÃO</t>
        </is>
      </c>
      <c r="B1" s="1" t="n"/>
      <c r="C1" s="1" t="n"/>
      <c r="D1" s="1" t="n"/>
      <c r="E1" s="1" t="n"/>
      <c r="F1" s="1" t="n"/>
      <c r="G1" s="1" t="n"/>
    </row>
    <row r="2">
      <c r="A2" s="17" t="inlineStr">
        <is>
          <t>Todos os valores de exemplo são fictícios. Azul = entrada; preto = fórmula.</t>
        </is>
      </c>
      <c r="E2" s="7" t="inlineStr">
        <is>
          <t>[ SUA LOGO / SEU NOME AQUI ]</t>
        </is>
      </c>
      <c r="F2" s="8" t="n"/>
      <c r="G2" s="8" t="n"/>
    </row>
    <row r="3">
      <c r="E3" s="8" t="n"/>
      <c r="F3" s="8" t="n"/>
      <c r="G3" s="8" t="n"/>
    </row>
    <row r="5" ht="22" customHeight="1">
      <c r="A5" s="18" t="inlineStr">
        <is>
          <t>1. CUSTOS FIXOS MENSAIS</t>
        </is>
      </c>
      <c r="B5" s="18" t="inlineStr">
        <is>
          <t>R$ / mês</t>
        </is>
      </c>
    </row>
    <row r="6">
      <c r="A6" s="19" t="inlineStr">
        <is>
          <t>Aluguel / ponto / box</t>
        </is>
      </c>
      <c r="B6" s="20" t="n">
        <v>800</v>
      </c>
    </row>
    <row r="7">
      <c r="A7" s="19" t="inlineStr">
        <is>
          <t>Internet e telefone</t>
        </is>
      </c>
      <c r="B7" s="20" t="n">
        <v>150</v>
      </c>
    </row>
    <row r="8">
      <c r="A8" s="19" t="inlineStr">
        <is>
          <t>Contador</t>
        </is>
      </c>
      <c r="B8" s="20" t="n">
        <v>300</v>
      </c>
    </row>
    <row r="9">
      <c r="A9" s="19" t="inlineStr">
        <is>
          <t>Seguro de responsabilidade civil (RC profissional)</t>
        </is>
      </c>
      <c r="B9" s="20" t="n">
        <v>120</v>
      </c>
    </row>
    <row r="10">
      <c r="A10" s="19" t="inlineStr">
        <is>
          <t>Software / app / armazenamento de fotos</t>
        </is>
      </c>
      <c r="B10" s="20" t="n">
        <v>90</v>
      </c>
    </row>
    <row r="11">
      <c r="A11" s="19" t="inlineStr">
        <is>
          <t>Depreciação de equipamentos (valor ÷ meses de vida útil)</t>
        </is>
      </c>
      <c r="B11" s="20" t="n">
        <v>150</v>
      </c>
    </row>
    <row r="12">
      <c r="A12" s="19" t="inlineStr">
        <is>
          <t>Marketing / anúncios</t>
        </is>
      </c>
      <c r="B12" s="20" t="n">
        <v>300</v>
      </c>
    </row>
    <row r="13">
      <c r="A13" s="19" t="inlineStr">
        <is>
          <t>Pró-labore (sua remuneração)</t>
        </is>
      </c>
      <c r="B13" s="20" t="n">
        <v>4000</v>
      </c>
    </row>
    <row r="14">
      <c r="A14" s="19" t="inlineStr">
        <is>
          <t>Outros</t>
        </is>
      </c>
      <c r="B14" s="20" t="n">
        <v>100</v>
      </c>
    </row>
    <row r="15">
      <c r="A15" s="21" t="inlineStr">
        <is>
          <t>TOTAL CUSTOS FIXOS / MÊS</t>
        </is>
      </c>
      <c r="B15" s="22">
        <f>SUM(B6:B14)</f>
        <v/>
      </c>
    </row>
    <row r="17" ht="22" customHeight="1">
      <c r="A17" s="18" t="inlineStr">
        <is>
          <t>2. CAPACIDADE</t>
        </is>
      </c>
      <c r="B17" s="18" t="inlineStr">
        <is>
          <t>Valor</t>
        </is>
      </c>
    </row>
    <row r="18">
      <c r="A18" s="19" t="inlineStr">
        <is>
          <t>Horas produtivas por mês (vistoria + deslocamento + laudo)</t>
        </is>
      </c>
      <c r="B18" s="23" t="n">
        <v>120</v>
      </c>
    </row>
    <row r="19">
      <c r="A19" s="19" t="inlineStr">
        <is>
          <t>Custo fixo por hora produtiva</t>
        </is>
      </c>
      <c r="B19" s="22">
        <f>IF($B$18&gt;0,$B$15/$B$18,0)</f>
        <v/>
      </c>
    </row>
    <row r="21" ht="22" customHeight="1">
      <c r="A21" s="18" t="inlineStr">
        <is>
          <t>3. CUSTOS VARIÁVEIS E PERCENTUAIS</t>
        </is>
      </c>
      <c r="B21" s="18" t="inlineStr">
        <is>
          <t>Valor</t>
        </is>
      </c>
    </row>
    <row r="22">
      <c r="A22" s="19" t="inlineStr">
        <is>
          <t>Custo por km rodado (R$/km: combustível + desgaste)</t>
        </is>
      </c>
      <c r="B22" s="20" t="n">
        <v>1.1</v>
      </c>
    </row>
    <row r="23">
      <c r="A23" s="19" t="inlineStr">
        <is>
          <t>Materiais por vistoria (luvas, etiquetas, impressão)</t>
        </is>
      </c>
      <c r="B23" s="20" t="n">
        <v>8</v>
      </c>
    </row>
    <row r="24">
      <c r="A24" s="19" t="inlineStr">
        <is>
          <t>Impostos sobre faturamento (%)  [VERIFICAR com contador]</t>
        </is>
      </c>
      <c r="B24" s="24" t="n">
        <v>0.06</v>
      </c>
    </row>
    <row r="25">
      <c r="A25" s="19" t="inlineStr">
        <is>
          <t>Taxa do meio de pagamento / cartão (%)</t>
        </is>
      </c>
      <c r="B25" s="24" t="n">
        <v>0.035</v>
      </c>
    </row>
    <row r="26">
      <c r="A26" s="19" t="inlineStr">
        <is>
          <t>Margem desejada sobre o preço (%)</t>
        </is>
      </c>
      <c r="B26" s="24" t="n">
        <v>0.2</v>
      </c>
    </row>
    <row r="27">
      <c r="A27" s="19" t="inlineStr">
        <is>
          <t>Soma de impostos + taxa + margem</t>
        </is>
      </c>
      <c r="B27" s="25">
        <f>$B$24+$B$25+$B$26</f>
        <v/>
      </c>
    </row>
    <row r="29" ht="22" customHeight="1">
      <c r="A29" s="18" t="inlineStr">
        <is>
          <t>4. POR TIPO DE VISTORIA</t>
        </is>
      </c>
      <c r="B29" s="18" t="inlineStr">
        <is>
          <t>Básica</t>
        </is>
      </c>
      <c r="C29" s="18" t="inlineStr">
        <is>
          <t>Intermediária</t>
        </is>
      </c>
      <c r="D29" s="18" t="inlineStr">
        <is>
          <t>Completa</t>
        </is>
      </c>
      <c r="E29" s="18" t="inlineStr">
        <is>
          <t>Moto</t>
        </is>
      </c>
      <c r="F29" s="18" t="inlineStr">
        <is>
          <t>Utilitário</t>
        </is>
      </c>
    </row>
    <row r="30">
      <c r="A30" s="19" t="inlineStr">
        <is>
          <t>Tempo total por vistoria (h) — pátio + laudo</t>
        </is>
      </c>
      <c r="B30" s="26" t="n">
        <v>1</v>
      </c>
      <c r="C30" s="26" t="n">
        <v>1.5</v>
      </c>
      <c r="D30" s="26" t="n">
        <v>2.5</v>
      </c>
      <c r="E30" s="26" t="n">
        <v>1</v>
      </c>
      <c r="F30" s="26" t="n">
        <v>2.5</v>
      </c>
    </row>
    <row r="31">
      <c r="A31" s="19" t="inlineStr">
        <is>
          <t>Deslocamento médio (km ida e volta)</t>
        </is>
      </c>
      <c r="B31" s="27" t="n">
        <v>20</v>
      </c>
      <c r="C31" s="27" t="n">
        <v>20</v>
      </c>
      <c r="D31" s="27" t="n">
        <v>25</v>
      </c>
      <c r="E31" s="27" t="n">
        <v>15</v>
      </c>
      <c r="F31" s="27" t="n">
        <v>30</v>
      </c>
    </row>
    <row r="32">
      <c r="A32" s="19" t="inlineStr">
        <is>
          <t>Consultas de histórico/restrições (R$)</t>
        </is>
      </c>
      <c r="B32" s="28" t="n">
        <v>15</v>
      </c>
      <c r="C32" s="28" t="n">
        <v>30</v>
      </c>
      <c r="D32" s="28" t="n">
        <v>60</v>
      </c>
      <c r="E32" s="28" t="n">
        <v>15</v>
      </c>
      <c r="F32" s="28" t="n">
        <v>60</v>
      </c>
    </row>
    <row r="33" ht="18" customHeight="1">
      <c r="A33" s="19" t="inlineStr">
        <is>
          <t>Custo fixo alocado (tempo × custo/hora)</t>
        </is>
      </c>
      <c r="B33" s="29">
        <f>B30*$B$19</f>
        <v/>
      </c>
      <c r="C33" s="29">
        <f>C30*$B$19</f>
        <v/>
      </c>
      <c r="D33" s="29">
        <f>D30*$B$19</f>
        <v/>
      </c>
      <c r="E33" s="29">
        <f>E30*$B$19</f>
        <v/>
      </c>
      <c r="F33" s="29">
        <f>F30*$B$19</f>
        <v/>
      </c>
    </row>
    <row r="34" ht="18" customHeight="1">
      <c r="A34" s="19" t="inlineStr">
        <is>
          <t>Custos variáveis (consultas + km + materiais)</t>
        </is>
      </c>
      <c r="B34" s="29">
        <f>B32+B31*$B$22+$B$23</f>
        <v/>
      </c>
      <c r="C34" s="29">
        <f>C32+C31*$B$22+$B$23</f>
        <v/>
      </c>
      <c r="D34" s="29">
        <f>D32+D31*$B$22+$B$23</f>
        <v/>
      </c>
      <c r="E34" s="29">
        <f>E32+E31*$B$22+$B$23</f>
        <v/>
      </c>
      <c r="F34" s="29">
        <f>F32+F31*$B$22+$B$23</f>
        <v/>
      </c>
    </row>
    <row r="35" ht="18" customHeight="1">
      <c r="A35" s="30" t="inlineStr">
        <is>
          <t>CUSTO TOTAL POR VISTORIA</t>
        </is>
      </c>
      <c r="B35" s="31">
        <f>B33+B34</f>
        <v/>
      </c>
      <c r="C35" s="31">
        <f>C33+C34</f>
        <v/>
      </c>
      <c r="D35" s="31">
        <f>D33+D34</f>
        <v/>
      </c>
      <c r="E35" s="31">
        <f>E33+E34</f>
        <v/>
      </c>
      <c r="F35" s="31">
        <f>F33+F34</f>
        <v/>
      </c>
    </row>
    <row r="36" ht="18" customHeight="1">
      <c r="A36" s="30" t="inlineStr">
        <is>
          <t>PREÇO MÍNIMO (margem zero)</t>
        </is>
      </c>
      <c r="B36" s="31">
        <f>IF(1-$B$24-$B$25&gt;0,B35/(1-$B$24-$B$25),"Revise %")</f>
        <v/>
      </c>
      <c r="C36" s="31">
        <f>IF(1-$B$24-$B$25&gt;0,C35/(1-$B$24-$B$25),"Revise %")</f>
        <v/>
      </c>
      <c r="D36" s="31">
        <f>IF(1-$B$24-$B$25&gt;0,D35/(1-$B$24-$B$25),"Revise %")</f>
        <v/>
      </c>
      <c r="E36" s="31">
        <f>IF(1-$B$24-$B$25&gt;0,E35/(1-$B$24-$B$25),"Revise %")</f>
        <v/>
      </c>
      <c r="F36" s="31">
        <f>IF(1-$B$24-$B$25&gt;0,F35/(1-$B$24-$B$25),"Revise %")</f>
        <v/>
      </c>
    </row>
    <row r="37" ht="18" customHeight="1">
      <c r="A37" s="30" t="inlineStr">
        <is>
          <t>PREÇO SUGERIDO (com margem)</t>
        </is>
      </c>
      <c r="B37" s="31">
        <f>IF(1-$B$24-$B$25-$B$26&gt;0,B35/(1-$B$24-$B$25-$B$26),"Revise %")</f>
        <v/>
      </c>
      <c r="C37" s="31">
        <f>IF(1-$B$24-$B$25-$B$26&gt;0,C35/(1-$B$24-$B$25-$B$26),"Revise %")</f>
        <v/>
      </c>
      <c r="D37" s="31">
        <f>IF(1-$B$24-$B$25-$B$26&gt;0,D35/(1-$B$24-$B$25-$B$26),"Revise %")</f>
        <v/>
      </c>
      <c r="E37" s="31">
        <f>IF(1-$B$24-$B$25-$B$26&gt;0,E35/(1-$B$24-$B$25-$B$26),"Revise %")</f>
        <v/>
      </c>
      <c r="F37" s="31">
        <f>IF(1-$B$24-$B$25-$B$26&gt;0,F35/(1-$B$24-$B$25-$B$26),"Revise %")</f>
        <v/>
      </c>
    </row>
    <row r="38" ht="30" customHeight="1">
      <c r="A38" s="19" t="inlineStr">
        <is>
          <t>Margem de contribuição por vistoria (preço sugerido − impostos/taxa − variáveis)</t>
        </is>
      </c>
      <c r="B38" s="29">
        <f>IF(ISNUMBER(B37),B37*(1-$B$24-$B$25)-B34,"")</f>
        <v/>
      </c>
      <c r="C38" s="29">
        <f>IF(ISNUMBER(C37),C37*(1-$B$24-$B$25)-C34,"")</f>
        <v/>
      </c>
      <c r="D38" s="29">
        <f>IF(ISNUMBER(D37),D37*(1-$B$24-$B$25)-D34,"")</f>
        <v/>
      </c>
      <c r="E38" s="29">
        <f>IF(ISNUMBER(E37),E37*(1-$B$24-$B$25)-E34,"")</f>
        <v/>
      </c>
      <c r="F38" s="29">
        <f>IF(ISNUMBER(F37),F37*(1-$B$24-$B$25)-F34,"")</f>
        <v/>
      </c>
    </row>
    <row r="39" ht="30" customHeight="1">
      <c r="A39" s="30" t="inlineStr">
        <is>
          <t>PONTO DE EQUILÍBRIO (vistorias/mês deste tipo)</t>
        </is>
      </c>
      <c r="B39" s="32">
        <f>IF(AND(ISNUMBER(B38),B38&gt;0),ROUNDUP($B$15/B38,0),"—")</f>
        <v/>
      </c>
      <c r="C39" s="32">
        <f>IF(AND(ISNUMBER(C38),C38&gt;0),ROUNDUP($B$15/C38,0),"—")</f>
        <v/>
      </c>
      <c r="D39" s="32">
        <f>IF(AND(ISNUMBER(D38),D38&gt;0),ROUNDUP($B$15/D38,0),"—")</f>
        <v/>
      </c>
      <c r="E39" s="32">
        <f>IF(AND(ISNUMBER(E38),E38&gt;0),ROUNDUP($B$15/E38,0),"—")</f>
        <v/>
      </c>
      <c r="F39" s="32">
        <f>IF(AND(ISNUMBER(F38),F38&gt;0),ROUNDUP($B$15/F38,0),"—")</f>
        <v/>
      </c>
    </row>
    <row r="40" ht="30" customHeight="1">
      <c r="A40" s="19" t="inlineStr">
        <is>
          <t>Capacidade máxima (vistorias/mês com as horas informadas)</t>
        </is>
      </c>
      <c r="B40" s="33">
        <f>IF(B30&gt;0,ROUNDDOWN($B$18/B30,0),"—")</f>
        <v/>
      </c>
      <c r="C40" s="33">
        <f>IF(C30&gt;0,ROUNDDOWN($B$18/C30,0),"—")</f>
        <v/>
      </c>
      <c r="D40" s="33">
        <f>IF(D30&gt;0,ROUNDDOWN($B$18/D30,0),"—")</f>
        <v/>
      </c>
      <c r="E40" s="33">
        <f>IF(E30&gt;0,ROUNDDOWN($B$18/E30,0),"—")</f>
        <v/>
      </c>
      <c r="F40" s="33">
        <f>IF(F30&gt;0,ROUNDDOWN($B$18/F30,0),"—")</f>
        <v/>
      </c>
    </row>
    <row r="42" ht="34" customHeight="1">
      <c r="A42" s="34" t="inlineStr">
        <is>
          <t>Leitura: o PONTO DE EQUILÍBRIO considera que todas as vistorias do mês são daquele tipo; com mix de tipos, o número fica entre os extremos. Se ele passa da capacidade máxima, os custos fixos ou o pró-labore estão altos para as horas disponíveis, ou o preço está baixo. Pró-labore já está nos custos fixos: a margem é o que sobra para reinvestir e reserva. Valores fictícios; não representam preço de mercado nem promessa de renda.</t>
        </is>
      </c>
    </row>
    <row r="43" ht="34" customHeight="1"/>
  </sheetData>
  <mergeCells count="4">
    <mergeCell ref="A42:G43"/>
    <mergeCell ref="A2:D2"/>
    <mergeCell ref="A1:G1"/>
    <mergeCell ref="E2:G3"/>
  </mergeCells>
  <conditionalFormatting sqref="B27">
    <cfRule type="cellIs" priority="1" operator="greaterThanOrEqual" dxfId="0">
      <formula>1</formula>
    </cfRule>
  </conditionalFormatting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2026-09-30T19:39:28Z</dcterms:created>
  <dcterms:modified xmlns:dcterms="http://purl.org/dc/terms/" xmlns:xsi="http://www.w3.org/2001/XMLSchema-instance" xsi:type="dcterms:W3CDTF">2026-09-30T19:39:28Z</dcterms:modified>
</cp:coreProperties>
</file>